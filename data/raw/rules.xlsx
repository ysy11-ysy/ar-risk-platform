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ysy\Desktop\数智创新大赛\"/>
    </mc:Choice>
  </mc:AlternateContent>
  <xr:revisionPtr revIDLastSave="0" documentId="13_ncr:1_{EB2A189C-5827-49CC-8E2B-6CE4428E5541}" xr6:coauthVersionLast="47" xr6:coauthVersionMax="47" xr10:uidLastSave="{00000000-0000-0000-0000-000000000000}"/>
  <bookViews>
    <workbookView xWindow="-98" yWindow="-98" windowWidth="19095" windowHeight="12075" firstSheet="6" activeTab="1" xr2:uid="{00000000-000D-0000-FFFF-FFFF00000000}"/>
  </bookViews>
  <sheets>
    <sheet name="R001" sheetId="16" r:id="rId1"/>
    <sheet name="R002" sheetId="17" r:id="rId2"/>
    <sheet name="R003" sheetId="18" r:id="rId3"/>
    <sheet name="R004" sheetId="19" r:id="rId4"/>
    <sheet name="R005" sheetId="7" r:id="rId5"/>
    <sheet name="R006" sheetId="8" r:id="rId6"/>
    <sheet name="R007" sheetId="9" r:id="rId7"/>
    <sheet name="R008" sheetId="1" r:id="rId8"/>
    <sheet name="R009" sheetId="2" r:id="rId9"/>
    <sheet name="R010" sheetId="3" r:id="rId10"/>
    <sheet name="R011" sheetId="4" r:id="rId11"/>
    <sheet name="R012" sheetId="11" r:id="rId12"/>
    <sheet name="R013" sheetId="12" r:id="rId13"/>
    <sheet name="R014" sheetId="13" r:id="rId14"/>
    <sheet name="R015" sheetId="14" r:id="rId15"/>
    <sheet name="R016" sheetId="15" r:id="rId16"/>
    <sheet name="R017" sheetId="10" r:id="rId17"/>
    <sheet name="阈值表" sheetId="5" r:id="rId18"/>
  </sheets>
  <externalReferences>
    <externalReference r:id="rId19"/>
  </externalReferences>
  <calcPr calcId="191029"/>
</workbook>
</file>

<file path=xl/calcChain.xml><?xml version="1.0" encoding="utf-8"?>
<calcChain xmlns="http://schemas.openxmlformats.org/spreadsheetml/2006/main">
  <c r="B20" i="5" l="1"/>
  <c r="B17" i="5"/>
  <c r="B15" i="5"/>
  <c r="B14" i="5"/>
  <c r="B11" i="5"/>
  <c r="B9" i="5"/>
  <c r="B8" i="5"/>
  <c r="B5" i="5"/>
  <c r="B4" i="5"/>
  <c r="B3" i="5"/>
  <c r="B2" i="5"/>
  <c r="B97" i="5"/>
  <c r="B93" i="5"/>
  <c r="B89" i="5"/>
  <c r="B85" i="5"/>
  <c r="B81" i="5"/>
  <c r="B77" i="5"/>
  <c r="B76" i="5"/>
  <c r="B71" i="5"/>
  <c r="B67" i="5"/>
  <c r="B63" i="5"/>
  <c r="B59" i="5"/>
  <c r="B55" i="5"/>
  <c r="B51" i="5"/>
  <c r="B50" i="5"/>
  <c r="B45" i="5"/>
  <c r="B41" i="5"/>
  <c r="B37" i="5"/>
  <c r="B33" i="5"/>
  <c r="B29" i="5"/>
  <c r="B25" i="5"/>
  <c r="B2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F5" authorId="0" shapeId="0" xr:uid="{00000000-0006-0000-0000-000001000000}">
      <text>
        <r>
          <rPr>
            <b/>
            <sz val="9"/>
            <rFont val="宋体"/>
            <family val="3"/>
            <charset val="134"/>
          </rPr>
          <t>lenovo:</t>
        </r>
        <r>
          <rPr>
            <sz val="9"/>
            <rFont val="宋体"/>
            <family val="3"/>
            <charset val="134"/>
          </rPr>
          <t xml:space="preserve">
</t>
        </r>
      </text>
    </comment>
  </commentList>
</comments>
</file>

<file path=xl/sharedStrings.xml><?xml version="1.0" encoding="utf-8"?>
<sst xmlns="http://schemas.openxmlformats.org/spreadsheetml/2006/main" count="1901" uniqueCount="1363">
  <si>
    <t>风险编号riskid</t>
  </si>
  <si>
    <t>R008</t>
  </si>
  <si>
    <t>风险名称riskname</t>
  </si>
  <si>
    <t>虚增在建工程、固定资产、固定资产折旧</t>
  </si>
  <si>
    <t>风险类型Risk_Category</t>
  </si>
  <si>
    <t>收入舞弊（所属的大类）</t>
  </si>
  <si>
    <t>定义解释Definition</t>
  </si>
  <si>
    <t>企业通过虚构工程项目、虚增工程量或工程投入等方式虚增在建工程，并可能进一步将虚增的在建工程转入固定资产；在后续期间，对虚增的固定资产计提折旧，还可能导致折旧费用虚增和利润虚减，从而导致资产及相关成本、费用和利润出现虚假记载。利源精制案例中即存在“虚增在建工程→转入固定资产→对虚增固定资产计提折旧”的连续会计处理链条。</t>
  </si>
  <si>
    <t>信号编号Signal ID</t>
  </si>
  <si>
    <t>R008-S01</t>
  </si>
  <si>
    <t>R008-S02</t>
  </si>
  <si>
    <t>R008-S03</t>
  </si>
  <si>
    <t>R008-S04</t>
  </si>
  <si>
    <t>R008-S05</t>
  </si>
  <si>
    <t>R008-S06</t>
  </si>
  <si>
    <t>信号名称Signal_Name</t>
  </si>
  <si>
    <t>在建工程异常增长</t>
  </si>
  <si>
    <t>在建工程与实际投入是否匹配</t>
  </si>
  <si>
    <t>在建工程转入固定资产异常</t>
  </si>
  <si>
    <t>固定资产异常增长</t>
  </si>
  <si>
    <t>虚增固定资产相关折旧异常</t>
  </si>
  <si>
    <t>在建工程—固定资产—折旧勾稽关系异常</t>
  </si>
  <si>
    <t>信号类型Signal_Type</t>
  </si>
  <si>
    <t>定量</t>
  </si>
  <si>
    <t>公式Formula</t>
  </si>
  <si>
    <t>在建工程增加额=本期在建工程-上期在建工程</t>
  </si>
  <si>
    <t>固定资产增加额=本期固定资产-上期固定资产</t>
  </si>
  <si>
    <t>固定资产增长率=(本期固定资产-上期固定资产)/上期固定资产</t>
  </si>
  <si>
    <t>折旧增长率=(本期折旧额-上期折旧额)/上期折旧额</t>
  </si>
  <si>
    <t>链条差额=固定资产增加额-转固金额-外购固定资产-其他增加</t>
  </si>
  <si>
    <t>营业收入增长率=（本期营业收入−上期营业收入）/上期营业收入</t>
  </si>
  <si>
    <t>现金支付工程款=购建固定资产、无形资产和其他长期资产支付的现金</t>
  </si>
  <si>
    <t>在建工程转固金额=本期在建工程转入固定资产金额</t>
  </si>
  <si>
    <t>期折旧额/平均固定资产原值</t>
  </si>
  <si>
    <t>增长偏离度=在建工程增长率−营业收入增长率</t>
  </si>
  <si>
    <t>转固率=本期在建工程转固金额/期初在建工程+本期新增在建工程</t>
  </si>
  <si>
    <t>期末固定资产账面价值/期末总资产</t>
  </si>
  <si>
    <t>折旧变动与固定资产变动偏离=固定资产增长率-折旧增长率</t>
  </si>
  <si>
    <t>…...</t>
  </si>
  <si>
    <t>转固后折旧变化=本期折旧额-上期折旧额</t>
  </si>
  <si>
    <t>实际折旧额与理论折旧额差异=实际折旧额-按披露折旧年限及残值率计算的理论折旧额</t>
  </si>
  <si>
    <t>数据来源Data_Source</t>
  </si>
  <si>
    <t>资产负债表、利润表、在建工程附注</t>
  </si>
  <si>
    <t>资产负债表、现金流量表、在建工程附注</t>
  </si>
  <si>
    <t>资产负债表、固定资产/在建工程附注</t>
  </si>
  <si>
    <t>资产负债表、利润表</t>
  </si>
  <si>
    <t>资产负债表、现金流量表、固定资产附注</t>
  </si>
  <si>
    <t>阈值Threshold</t>
  </si>
  <si>
    <t>RAG_Keywords</t>
  </si>
  <si>
    <t>在建工程
重大在建工程
工程项目
工程进度
工程投入
项目建设
工程预算
工程结算</t>
  </si>
  <si>
    <t>工程投入
工程进度
工程建设
项目投资
建设项目
重大项目
项目预算
项目金额
设备安装
土建工程</t>
  </si>
  <si>
    <t>固定资产
机器设备
房屋建筑物
生产线
设备采购
新增设备
技术改造
产能扩张
生产基地
固定资产增加</t>
  </si>
  <si>
    <t>购置
新增
转入
企业合并
其他增加
处置
报废
固定资产变动</t>
  </si>
  <si>
    <t>在建工程
工程项目
工程进度
转入固定资产
达到预定可使用状态
固定资产
机器设备
累计折旧
折旧方法
折旧年限
预计净残值</t>
  </si>
  <si>
    <t>Evidence_Required</t>
  </si>
  <si>
    <t>财务数据+年报原文</t>
  </si>
  <si>
    <t>定性证据</t>
  </si>
  <si>
    <t>是否存在重大项目、扩产、技改、募投项目等合理解释。</t>
  </si>
  <si>
    <t>R009</t>
  </si>
  <si>
    <t>虚增货币资金</t>
  </si>
  <si>
    <t>资产类舞弊</t>
  </si>
  <si>
    <t>企业通过伪造银行回单、虚构银行存款或隐瞒实际资金被占用等方式虚增货币资金，导致资产负债表货币资金与银行实际余额、现金流及融资结构不一致。金亚科技案例中存在伪造银行单据、虚增银行存款以及虚列预付工程款的情形。</t>
  </si>
  <si>
    <t>R009-S01</t>
  </si>
  <si>
    <t>R009-S02</t>
  </si>
  <si>
    <t>R009-S03</t>
  </si>
  <si>
    <t>R009-S04</t>
  </si>
  <si>
    <t>R009-S05</t>
  </si>
  <si>
    <t>R009-S06</t>
  </si>
  <si>
    <t>货币资金异常增长</t>
  </si>
  <si>
    <t>货币资金与经营活动现金流不匹配</t>
  </si>
  <si>
    <t>货币资金与有息负债“大存大贷”</t>
  </si>
  <si>
    <t>银行存款与银行流水/函证不一致</t>
  </si>
  <si>
    <t>货币资金变动与借款、利息支出不匹配</t>
  </si>
  <si>
    <t>受限资金/资金占用披露异常</t>
  </si>
  <si>
    <t>货币资金增长率=(本期货币资金-上期货币资金)/上期货币资金</t>
  </si>
  <si>
    <t>经营活动现金流净额/货币资金</t>
  </si>
  <si>
    <t>有息负债/货币资金</t>
  </si>
  <si>
    <t>账面银行存款余额-银行函证/银行流水余额</t>
  </si>
  <si>
    <t>借款增长率=(本期有息负债-上期有息负债)/上期有息负债</t>
  </si>
  <si>
    <t>受限货币资金/货币资金</t>
  </si>
  <si>
    <t>货币资金/总资产</t>
  </si>
  <si>
    <t>货币资金增长额-经营活动现金流净额</t>
  </si>
  <si>
    <t>财务费用/平均有息负债</t>
  </si>
  <si>
    <t>差异率=(账面银行存款-可验证银行余额)/账面银行存款</t>
  </si>
  <si>
    <t>货币资金增长率-有息负债增长率</t>
  </si>
  <si>
    <t>披露的受限资金与借款质押、冻结、司法事项等是否对应</t>
  </si>
  <si>
    <t>其他应收款/预付款异常增加且资金流向关联方或体外主体的金额</t>
  </si>
  <si>
    <t>资产负债表、货币资金附注</t>
  </si>
  <si>
    <t>资产负债表、现金流量表</t>
  </si>
  <si>
    <t>资产负债表、借款附注、财务费用</t>
  </si>
  <si>
    <t>货币资金附注、银行函证/银行流水（如可取得）</t>
  </si>
  <si>
    <t>资产负债表、现金流量表、借款附注、财务费用</t>
  </si>
  <si>
    <t>货币资金附注、担保/质押/诉讼公告、关联交易及资金占用披露</t>
  </si>
  <si>
    <t>货币资金
银行存款
库存现金
其他货币资金
银行账户
银行存款余额
大额存款</t>
  </si>
  <si>
    <t>经营活动现金流
经营活动产生的现金流量净额
现金流量表
现金流
回款</t>
  </si>
  <si>
    <t>短期借款
长期借款
有息负债
财务费用
利息支出
大存大贷</t>
  </si>
  <si>
    <t>银行函证
银行流水
银行回单
银行对账单
账户余额
函证回函</t>
  </si>
  <si>
    <t>借款
新增借款
融资
利息
财务费用
大额借款</t>
  </si>
  <si>
    <t>财务数据+年报原文；如条件允许，应进一步取得银行函证、银行流水或银行对账单等外部证据。</t>
  </si>
  <si>
    <t>财务数据+年报原文+现金流量表；重点核查经营活动现金流与货币资金变动是否具有合理关系。</t>
  </si>
  <si>
    <t>财务数据+借款及财务费用附注；重点关注账面货币资金规模较大同时存在较高有息负债的情形。</t>
  </si>
  <si>
    <t>财务数据+货币资金附注+外部银行证据；账面余额与可验证余额直接冲突时属于强风险证据。</t>
  </si>
  <si>
    <t>财务数据+借款附注+现金流量表；结合融资用途、现金去向及利息支出分析。</t>
  </si>
  <si>
    <t>财务数据+年报受限资金、担保、诉讼、关联方资金往来披露；关注资金是否实际可自由支配。</t>
  </si>
  <si>
    <t>是否存在大额新增融资、重大资产处置、并购、季节性回款等可以合理解释货币资金变化的事项。</t>
  </si>
  <si>
    <t>经营活动现金流与货币资金不必机械相等，应结合应收账款、预付款、存货、应付项目及融资投资活动解释。</t>
  </si>
  <si>
    <t>“大存大贷”本身不是造假结论，应进一步核查借款用途、资金受限情况、资金是否实际可使用。</t>
  </si>
  <si>
    <t>金亚科技案例中账面银行日记账余额219,301,259.06元，而实际银行账户余额仅1,389,423.51元，虚增217,911,835.55元，占资产总额16.46%。该案例说明“账面余额与可验证银行余额直接不一致”具有很强的风险识别价值。</t>
  </si>
  <si>
    <t>金亚科技还存在虚列3.1亿元预付工程款并制作虚假合同、银行付款单据的情形，因此货币资金异常应与大额预付款、工程款等科目联动检查。</t>
  </si>
  <si>
    <t>关注受限资金是否被披露、是否与借款质押或司法事项对应；不可自由支配的资金不能简单视同可用现金。</t>
  </si>
  <si>
    <t>R010</t>
  </si>
  <si>
    <t>商誉减值舞弊</t>
  </si>
  <si>
    <t>企业在并购形成大额商誉后，在被收购标的业绩恶化、业绩承诺未达成或资产组可收回金额下降的情况下，通过高估可收回金额、弱化减值测试依据或少计/不计商誉及相关资产减值，延迟确认减值损失，从而虚增资产和利润。ST实达案例中，资产组可收回价值减值测试存在问题，导致少计提资产组中其他资产减值并虚增利润。</t>
  </si>
  <si>
    <t>R010-S01</t>
  </si>
  <si>
    <t>R010-S02</t>
  </si>
  <si>
    <t>R010-S03</t>
  </si>
  <si>
    <t>R010-S04</t>
  </si>
  <si>
    <t>R010-S05</t>
  </si>
  <si>
    <t>R010-S06</t>
  </si>
  <si>
    <t>商誉规模异常</t>
  </si>
  <si>
    <t>被收购标的业绩未达标但未计提减值</t>
  </si>
  <si>
    <t>商誉对应资产组经营表现与减值测试结果不匹配</t>
  </si>
  <si>
    <t>可收回金额关键假设异常</t>
  </si>
  <si>
    <t>减值测试后利润/净资产改善异常</t>
  </si>
  <si>
    <t>商誉及相关资产减值勾稽异常</t>
  </si>
  <si>
    <t>商誉/总资产</t>
  </si>
  <si>
    <t>实际业绩-业绩承诺</t>
  </si>
  <si>
    <t>资产组收入增长率</t>
  </si>
  <si>
    <t>预测期收入增长率</t>
  </si>
  <si>
    <t>减值损失/减值前利润</t>
  </si>
  <si>
    <t>商誉减值损失+资产组其他资产减值损失</t>
  </si>
  <si>
    <t>商誉/净资产</t>
  </si>
  <si>
    <t>业绩完成率=实际业绩/承诺业绩</t>
  </si>
  <si>
    <t>资产组利润增长率</t>
  </si>
  <si>
    <t>预测期利润率</t>
  </si>
  <si>
    <t>减值测试前后净利润变化</t>
  </si>
  <si>
    <t>资产组账面价值-可收回金额</t>
  </si>
  <si>
    <t>资产组经营现金流增长率</t>
  </si>
  <si>
    <t>折现率</t>
  </si>
  <si>
    <t>减值测试前后净资产变化</t>
  </si>
  <si>
    <t>减值测试覆盖资产与实际资产组范围是否一致</t>
  </si>
  <si>
    <t>永续增长率</t>
  </si>
  <si>
    <t>资产负债表、商誉附注</t>
  </si>
  <si>
    <t>商誉附注、收购公告、业绩承诺披露、年报</t>
  </si>
  <si>
    <t>商誉附注、被收购子公司/资产组经营数据</t>
  </si>
  <si>
    <t>商誉减值测试附注、评估报告、关键假设</t>
  </si>
  <si>
    <t>利润表、资产负债表、商誉减值附注</t>
  </si>
  <si>
    <t>商誉附注、资产减值附注、评估报告、收购协议</t>
  </si>
  <si>
    <t>商誉
企业合并
并购
收购
资产组
商誉减值</t>
  </si>
  <si>
    <t>业绩承诺
业绩完成
业绩未达标
承诺利润
承诺收入
未完成业绩</t>
  </si>
  <si>
    <t>资产组
营业收入
净利润
经营活动现金流
产能
经营恶化</t>
  </si>
  <si>
    <t>可收回金额
预计未来现金流量现值
公允价值减处置费用
折现率
永续增长率
预测期</t>
  </si>
  <si>
    <t>资产减值
商誉减值
减值损失
净利润
净资产
扭亏</t>
  </si>
  <si>
    <t>财务数据+年报原文+收购/业绩承诺信息；重点取得商誉减值测试关键假设和资产组信息。</t>
  </si>
  <si>
    <t>年报业绩承诺完成情况+商誉附注；关注连续未达标但未出现减值的情况。</t>
  </si>
  <si>
    <t>财务数据+子公司经营信息；重点比较实际经营表现与减值测试预测。</t>
  </si>
  <si>
    <t>商誉减值测试附注/评估报告；重点核查预测增长、利润率、折现率等关键假设是否有经营依据。</t>
  </si>
  <si>
    <t>财务数据+减值测试前后数据；关注减值测试结果是否对利润、净资产产生异常改善作用。</t>
  </si>
  <si>
    <t>商誉及资产组减值测试资料；检查商誉与资产组其他资产减值是否完整、范围是否一致。</t>
  </si>
  <si>
    <t>并购后标的经营恶化、行业周期下行等可以合理解释商誉风险；反之，不能因为存在商誉就直接认定舞弊。</t>
  </si>
  <si>
    <t>业绩承诺未完成本身不是舞弊结论，但连续未达标且长期不计提减值，是重要风险组合。</t>
  </si>
  <si>
    <t>ST实达案例中，2019年商誉减值测试涉及资产组可收回价值，因评估报告存在重复加计票据贴现利息等问题，导致少计提资产组其他资产减值87,885,571.55元，虚增当年净利润和净资产同额。该案例支持“资产组经营/估值假设—减值结果—利润影响”的联动检查。</t>
  </si>
  <si>
    <t>预测假设应与历史经营数据、行业情况、预算及实际经营计划相互验证，不能仅因评估报告存在就视为合理。</t>
  </si>
  <si>
    <t>如果减值测试结果与资产组实际经营表现明显背离，应进入二次AI核验，而不是由数值规则直接认定舞弊。</t>
  </si>
  <si>
    <t>商誉减值风险应关注商誉及相关资产组整体，不宜只看商誉余额单项指标。</t>
  </si>
  <si>
    <t>R011</t>
  </si>
  <si>
    <t>应收账款坏账计提不足</t>
  </si>
  <si>
    <t>企业在应收账款已经逾期、回款困难或客户信用风险明显上升的情况下，通过低估预期信用损失、降低坏账计提比例或虚增应收账款等方式少计信用减值损失，虚增资产和利润。爱迪尔案例中存在虚增应收账款并对虚增应收账款不当计提坏账准备的情形。</t>
  </si>
  <si>
    <t>R011-S01</t>
  </si>
  <si>
    <t>R011-S02</t>
  </si>
  <si>
    <t>R011-S03</t>
  </si>
  <si>
    <t>R011-S04</t>
  </si>
  <si>
    <t>R011-S05</t>
  </si>
  <si>
    <t>R011-S06</t>
  </si>
  <si>
    <t>应收账款异常增长</t>
  </si>
  <si>
    <t>应收账款增长与营业收入不匹配</t>
  </si>
  <si>
    <t>逾期应收账款占比异常</t>
  </si>
  <si>
    <t>坏账准备计提比例与账龄/逾期风险不匹配</t>
  </si>
  <si>
    <t>应收账款回款恶化但坏账准备未同步增加</t>
  </si>
  <si>
    <t>应收账款—坏账准备—信用减值损失勾稽异常</t>
  </si>
  <si>
    <t>应收账款增长率=(本期应收账款-上期应收账款)/上期应收账款</t>
  </si>
  <si>
    <t>应收账款周转率=营业收入/平均应收账款</t>
  </si>
  <si>
    <t>逾期应收账款/应收账款</t>
  </si>
  <si>
    <t>坏账准备/应收账款</t>
  </si>
  <si>
    <t>经营活动现金流净额/营业收入</t>
  </si>
  <si>
    <t>期末坏账准备-期初坏账准备+核销/转销金额</t>
  </si>
  <si>
    <t>营业收入增长率=(本期营业收入-上期营业收入)/上期营业收入</t>
  </si>
  <si>
    <t>应收账款周转天数=365/应收账款周转率</t>
  </si>
  <si>
    <t>一年以上应收账款/应收账款</t>
  </si>
  <si>
    <t>坏账准备/逾期应收账款</t>
  </si>
  <si>
    <t>销售商品、提供劳务收到的现金/营业收入</t>
  </si>
  <si>
    <t>本期信用减值损失</t>
  </si>
  <si>
    <t>应收账款增长率-营业收入增长率</t>
  </si>
  <si>
    <t>长期未收回金额/应收账款</t>
  </si>
  <si>
    <t>不同账龄坏账计提比例</t>
  </si>
  <si>
    <t>应收账款增长率-销售回款增长率</t>
  </si>
  <si>
    <t>坏账准备余额与账龄迁徙、逾期余额变化是否匹配</t>
  </si>
  <si>
    <t>资产负债表、利润表、应收账款附注</t>
  </si>
  <si>
    <t>资产负债表、利润表、应收账款附注、现金流量表</t>
  </si>
  <si>
    <t>应收账款附注、账龄分析</t>
  </si>
  <si>
    <t>应收账款附注、坏账准备政策、预期信用损失披露</t>
  </si>
  <si>
    <t>现金流量表、应收账款附注、客户回款信息</t>
  </si>
  <si>
    <t>应收账款附注、信用减值损失附注、坏账准备变动表</t>
  </si>
  <si>
    <t>应收账款
应收票据
应收款项
客户
贸易应收
账款</t>
  </si>
  <si>
    <t>营业收入
收入增长
销售收入
回款
经营活动现金流
销售商品收到的现金</t>
  </si>
  <si>
    <t>逾期
账龄
一年以上
三年以上
长期未收回
逾期应收账款</t>
  </si>
  <si>
    <t>坏账准备
信用减值损失
预期信用损失
计提比例
坏账率
单项计提</t>
  </si>
  <si>
    <t>回款
现金回款
经营活动现金流
收现比
应收账款回收</t>
  </si>
  <si>
    <t>财务数据+年报原文+应收账款账龄及坏账政策；重点取得不同账龄的计提比例。</t>
  </si>
  <si>
    <t>财务数据+现金流量表；关注应收账款快速增长但收入增长或现金回款没有同步增长的情况。</t>
  </si>
  <si>
    <t>应收账款账龄明细+客户回款信息；重点关注长期逾期、诉讼、经营困难客户。</t>
  </si>
  <si>
    <t>坏账准备政策+账龄结构；不能只比较一个总计提比例，应结合账龄和信用风险。</t>
  </si>
  <si>
    <t>现金流量表+应收账款附注；关注回款恶化与信用减值损失变化是否匹配。</t>
  </si>
  <si>
    <t>坏账准备变动表+信用减值损失+核销/转销；检查期初期末勾稽关系和账龄迁徙。</t>
  </si>
  <si>
    <t>收入快速增长、季节性销售、重大客户集中、并购等可能导致应收账款阶段性增加，需要结合业务背景判断。</t>
  </si>
  <si>
    <t>应收账款增长快于收入并不必然异常，应结合信用政策、结算方式、销售季节性和客户结构解释。</t>
  </si>
  <si>
    <t>逾期比例高但客户信用良好、已有充分担保或期后快速回款，可以作为合理解释，但需要年报或外部证据支持。</t>
  </si>
  <si>
    <t>爱迪尔案例中，截至2019年末累计虚增应收账款42,860.11万元，2017—2019年分别虚增6,300.72万元、12,154.31万元、24,405.09万元，并对前述虚增应收账款不当计提坏账准备，2017—2021年分别导致利润总额虚减214.90万元、381.12万元、8,863.34万元、9,994.53万元、6,450.90万元。该案例支持“应收账款真实性+坏账计提”必须联动检查。</t>
  </si>
  <si>
    <t>同行业比较可以作为辅助证据，但不能仅因低于同行就认定计提不足；应优先核查公司自身账龄、历史回款和客户信用情况。</t>
  </si>
  <si>
    <t>如果发现应收账款真实性本身存在问题，应升级为“虚增应收账款/收入”相关风险，而不是只判断坏账计提比例。</t>
  </si>
  <si>
    <t>阈值</t>
  </si>
  <si>
    <t>编号</t>
  </si>
  <si>
    <t>信号1</t>
  </si>
  <si>
    <t>正常</t>
  </si>
  <si>
    <t>关注</t>
  </si>
  <si>
    <t>高风险</t>
  </si>
  <si>
    <t>指标</t>
  </si>
  <si>
    <t>金亚科技案例证明绝对金额/资产占比本身不是唯一阈值，应结合真实性证据。</t>
  </si>
  <si>
    <t>两指标联动</t>
  </si>
  <si>
    <t>与其他指标及年报披露基本一致</t>
  </si>
  <si>
    <t>存在明显不一致，需要进一步核验</t>
  </si>
  <si>
    <t>多个指标同时异常且无法合理解释</t>
  </si>
  <si>
    <t>信号2</t>
  </si>
  <si>
    <t>经营活动现金流/货币资金</t>
  </si>
  <si>
    <t>属于匹配性指标，不设置统一百分比。</t>
  </si>
  <si>
    <t>信号3</t>
  </si>
  <si>
    <t>源于舞弊特征表中的“大存大贷”信号。</t>
  </si>
  <si>
    <t>信号4</t>
  </si>
  <si>
    <t>账面余额与银行函证/流水差异</t>
  </si>
  <si>
    <t>金亚科技：账面219,301,259.06元，实际1,389,423.51元。</t>
  </si>
  <si>
    <t>信号5</t>
  </si>
  <si>
    <t>借款增长率、货币资金增长率、财务费用</t>
  </si>
  <si>
    <t>应结合融资用途和现金去向核查。</t>
  </si>
  <si>
    <t>信号6</t>
  </si>
  <si>
    <t>受限货币资金及异常往来</t>
  </si>
  <si>
    <t>金亚科技同时存在虚列预付工程款案例。</t>
  </si>
  <si>
    <t>商誉/总资产、商誉/净资产</t>
  </si>
  <si>
    <t>比例用于筛查，不设统一数值阈值。</t>
  </si>
  <si>
    <t>实际业绩/承诺业绩</t>
  </si>
  <si>
    <t>未达标不是舞弊结论，需结合减值测试。</t>
  </si>
  <si>
    <t>收入、利润、经营现金流增长率</t>
  </si>
  <si>
    <t>核心是实际经营与测试结果的背离。</t>
  </si>
  <si>
    <t>预测增长率、利润率、折现率、永续增长率</t>
  </si>
  <si>
    <t>ST实达案例显示评估/减值测试基础存在问题会导致少计减值。</t>
  </si>
  <si>
    <t>减值损失与净利润/净资产变化</t>
  </si>
  <si>
    <t>ST实达少计87,885,571.55元并等额虚增净利润、净资产。</t>
  </si>
  <si>
    <t>资产组账面价值与可收回金额、减值范围</t>
  </si>
  <si>
    <t>应检查商誉及相关资产是否完整纳入测试。</t>
  </si>
  <si>
    <t>应收账款增长率与营业收入增长率偏离</t>
  </si>
  <si>
    <t>不设固定百分点阈值。</t>
  </si>
  <si>
    <t>应收账款周转率/周转天数</t>
  </si>
  <si>
    <t>需结合行业和季节性。</t>
  </si>
  <si>
    <t>逾期应收账款/应收账款、长期账龄占比</t>
  </si>
  <si>
    <t>爱迪尔案例强调应收真实性和坏账计提联动。</t>
  </si>
  <si>
    <t>坏账准备/应收账款、各账龄计提比例</t>
  </si>
  <si>
    <t>不能仅凭低于同行判定不足。</t>
  </si>
  <si>
    <t>现金回款/营业收入、经营现金流/营业收入</t>
  </si>
  <si>
    <t>需结合销售季节性和信用政策。</t>
  </si>
  <si>
    <t>期末坏账准备、信用减值损失、核销/转销</t>
  </si>
  <si>
    <t>爱迪尔案例中虚增应收账款与不当计提坏账准备同时存在。</t>
  </si>
  <si>
    <t>受限货币资金
冻结
质押
保证金
司法冻结
资金占用
关联方
其他应收款
预付款</t>
    <phoneticPr fontId="1" type="noConversion"/>
  </si>
  <si>
    <t>减值测试
资产组账面价值
可收回金额
评估报告
资产组范围
固定资产减值
无形资产减值</t>
    <phoneticPr fontId="1" type="noConversion"/>
  </si>
  <si>
    <t>坏账准备期初
坏账准备期末
核销
转销
信用减值损失
账龄迁徙</t>
    <phoneticPr fontId="1" type="noConversion"/>
  </si>
  <si>
    <t>阈值</t>
    <phoneticPr fontId="1" type="noConversion"/>
  </si>
  <si>
    <t>编号</t>
    <phoneticPr fontId="1" type="noConversion"/>
  </si>
  <si>
    <t>信号1</t>
    <phoneticPr fontId="1" type="noConversion"/>
  </si>
  <si>
    <t>关注</t>
    <phoneticPr fontId="1" type="noConversion"/>
  </si>
  <si>
    <t>指标1</t>
    <phoneticPr fontId="1" type="noConversion"/>
  </si>
  <si>
    <t>与企业经营规模、历史趋势基本一致</t>
    <phoneticPr fontId="1" type="noConversion"/>
  </si>
  <si>
    <t>明显高于企业历史增长水平</t>
    <phoneticPr fontId="1" type="noConversion"/>
  </si>
  <si>
    <t>指标2</t>
    <phoneticPr fontId="1" type="noConversion"/>
  </si>
  <si>
    <t>≤10个百分点</t>
    <phoneticPr fontId="1" type="noConversion"/>
  </si>
  <si>
    <t>&gt;10～30个百分点</t>
    <phoneticPr fontId="1" type="noConversion"/>
  </si>
  <si>
    <t>两指标联动</t>
    <phoneticPr fontId="1" type="noConversion"/>
  </si>
  <si>
    <t>在建工程增长与收入/产能扩张基本匹配</t>
    <phoneticPr fontId="1" type="noConversion"/>
  </si>
  <si>
    <t>信号2</t>
    <phoneticPr fontId="1" type="noConversion"/>
  </si>
  <si>
    <t>在建工程增加与工程现金支出能够通过应付工程款、预付款、结算时点等解释</t>
    <phoneticPr fontId="1" type="noConversion"/>
  </si>
  <si>
    <t>两者明显不匹配</t>
    <phoneticPr fontId="1" type="noConversion"/>
  </si>
  <si>
    <t>长期、大额不匹配且无法由项目进度、付款安排等解释</t>
    <phoneticPr fontId="1" type="noConversion"/>
  </si>
  <si>
    <t>不设置投入产出比的固定数值，因为北京注协只要求“匹配合理性”分析。</t>
    <phoneticPr fontId="1" type="noConversion"/>
  </si>
  <si>
    <t>信号3</t>
    <phoneticPr fontId="1" type="noConversion"/>
  </si>
  <si>
    <t>核心不是规定“转固率必须多少”，而是看是否达到预定可使用状态后及时转固并计提折旧</t>
    <phoneticPr fontId="1" type="noConversion"/>
  </si>
  <si>
    <t>转固时间与项目完工/达到可使用状态一致</t>
    <phoneticPr fontId="1" type="noConversion"/>
  </si>
  <si>
    <t>存在明显滞后</t>
    <phoneticPr fontId="1" type="noConversion"/>
  </si>
  <si>
    <t>已经投入使用仍长期挂在在建工程，且未及时转固、计提折旧</t>
    <phoneticPr fontId="1" type="noConversion"/>
  </si>
  <si>
    <t>达到预定可使用状态但未及时转固”**是最明确的规则型阈值，中注协有直接依据。</t>
  </si>
  <si>
    <t>信号4</t>
    <phoneticPr fontId="1" type="noConversion"/>
  </si>
  <si>
    <t>固定资产增长与收入、产能、产量、经营规模匹配</t>
    <phoneticPr fontId="1" type="noConversion"/>
  </si>
  <si>
    <t>固定资产增长明显快于收入/经营规模</t>
    <phoneticPr fontId="1" type="noConversion"/>
  </si>
  <si>
    <t>固定资产大幅增加但产能、收入没有对应提升，且无扩产、技改等合理解释</t>
    <phoneticPr fontId="1" type="noConversion"/>
  </si>
  <si>
    <t>信号5</t>
    <phoneticPr fontId="1" type="noConversion"/>
  </si>
  <si>
    <t>折旧变化与固定资产规模、投产时间、折旧年限、残值率、折旧方法一致</t>
    <phoneticPr fontId="1" type="noConversion"/>
  </si>
  <si>
    <t>实际折旧与理论折旧明显偏离</t>
    <phoneticPr fontId="1" type="noConversion"/>
  </si>
  <si>
    <t>固定资产真实性、转固时间或折旧政策存在异常，并导致折旧明显异常</t>
    <phoneticPr fontId="1" type="noConversion"/>
  </si>
  <si>
    <t>信号6</t>
    <phoneticPr fontId="1" type="noConversion"/>
  </si>
  <si>
    <t>链条能够勾稽</t>
    <phoneticPr fontId="1" type="noConversion"/>
  </si>
  <si>
    <t>单一环节存在无法解释的差额</t>
    <phoneticPr fontId="1" type="noConversion"/>
  </si>
  <si>
    <t>在建工程增加、转固、固定资产增加、折旧多个环节同时异常</t>
    <phoneticPr fontId="1" type="noConversion"/>
  </si>
  <si>
    <t>北京注协的监管提示明确强调的是：要把固定资产投资规模与经营规模、产能、产量以及营业收入增长进行匹配分析，而不是单独看增长率。</t>
    <phoneticPr fontId="1" type="noConversion"/>
  </si>
  <si>
    <r>
      <t>在建工程增长率=（本期在建工程</t>
    </r>
    <r>
      <rPr>
        <sz val="11"/>
        <color theme="1"/>
        <rFont val="Cambria Math"/>
        <family val="1"/>
      </rPr>
      <t>−</t>
    </r>
    <r>
      <rPr>
        <sz val="11"/>
        <color theme="1"/>
        <rFont val="宋体"/>
        <family val="3"/>
        <charset val="134"/>
        <scheme val="minor"/>
      </rPr>
      <t>上期在建工程</t>
    </r>
    <r>
      <rPr>
        <sz val="11"/>
        <color theme="1"/>
        <rFont val="宋体"/>
        <family val="1"/>
        <scheme val="minor"/>
      </rPr>
      <t>​</t>
    </r>
    <r>
      <rPr>
        <sz val="11"/>
        <color theme="1"/>
        <rFont val="宋体"/>
        <family val="3"/>
        <charset val="134"/>
        <scheme val="minor"/>
      </rPr>
      <t>）/上期在建工程</t>
    </r>
    <phoneticPr fontId="1" type="noConversion"/>
  </si>
  <si>
    <t>大幅高于企业历史水平，且无法由产能扩张、重大项目等解释</t>
    <phoneticPr fontId="1" type="noConversion"/>
  </si>
  <si>
    <t>&gt;30个百分点</t>
    <phoneticPr fontId="1" type="noConversion"/>
  </si>
  <si>
    <t>在建工程增长明显快于收入增长</t>
    <phoneticPr fontId="1" type="noConversion"/>
  </si>
  <si>
    <t>在建工程大幅增长，而收入基本不增长/下降，且无合理业务解释</t>
    <phoneticPr fontId="1" type="noConversion"/>
  </si>
  <si>
    <t>在建工程增长率的正常范围：与企业经营规模、历史趋势基本一致；关注范围：明显高于企业历史增长水平；高风险范围：大幅高于企业历史水平，且无法由产能扩张、重大项目等解释</t>
    <phoneticPr fontId="1" type="noConversion"/>
  </si>
  <si>
    <t>增长偏离度的正常范围：≤10个百分点；关注范围：&gt;10～30个百分点；高风险范围：&gt;30个百分点</t>
    <phoneticPr fontId="1" type="noConversion"/>
  </si>
  <si>
    <t>两指标联动下，正常范围：在建工程增长与收入/产能扩张基本匹配；关注范围：在建工程增长明显快于收入增长；高风险范围：在建工程大幅增长，而收入基本不增长/下降，且无合理业务解释</t>
    <phoneticPr fontId="1" type="noConversion"/>
  </si>
  <si>
    <t>投入产出比=在建工程增加额/工程现金支出</t>
    <phoneticPr fontId="1" type="noConversion"/>
  </si>
  <si>
    <t>投入产出比。正常范围：在建工程增加与工程现金支出能够通过应付工程款、预付款、结算时点等解释；关注范围：两者明显不匹配；高风险范围：长期、大额不匹配且无法由项目进度、付款安排等解释</t>
    <phoneticPr fontId="1" type="noConversion"/>
  </si>
  <si>
    <t>转固率：正常范围：转固时间与项目完工/达到可使用状态一致；关注范围：存在明显滞后；高风险范围：已经投入使用仍长期挂在在建工程，且未及时转固、计提折旧</t>
    <phoneticPr fontId="1" type="noConversion"/>
  </si>
  <si>
    <t>固定资产增长率-营业收入增长率</t>
    <phoneticPr fontId="1" type="noConversion"/>
  </si>
  <si>
    <t>固定资产增长率-营业收入增长率，其差额的正常范围：固定资产增长与收入、产能、产量、经营规模匹配；关注范围：固定资产增长明显快于收入/经营规模；高风险范围：固定资产大幅增加但产能、收入没有对应提升，且无扩产、技改等合理解释</t>
    <phoneticPr fontId="1" type="noConversion"/>
  </si>
  <si>
    <t>此关系的正常范围：链条能够勾稽；关注范围：单一环节存在无法解释的差额；高风险范围：在建工程增加、转固、固定资产增加、折旧多个环节同时异常</t>
    <phoneticPr fontId="1" type="noConversion"/>
  </si>
  <si>
    <t>正常范围：折旧变化与固定资产规模、投产时间、折旧年限、残值率、折旧方法一致；关注范围：实际折旧与理论折旧明显偏离；高风险范围：固定资产真实性、转固时间或折旧政策存在异常，并导致折旧明显异常</t>
    <phoneticPr fontId="1" type="noConversion"/>
  </si>
  <si>
    <t>货币资金增长率/货币资金占总资产</t>
    <phoneticPr fontId="1" type="noConversion"/>
  </si>
  <si>
    <t>与历史趋势及经营规模基本一致</t>
    <phoneticPr fontId="1" type="noConversion"/>
  </si>
  <si>
    <t>明显偏离历史趋势或资产结构变化</t>
    <phoneticPr fontId="1" type="noConversion"/>
  </si>
  <si>
    <t>大幅异常增长且无法由融资、经营、并购等解释</t>
    <phoneticPr fontId="1" type="noConversion"/>
  </si>
  <si>
    <t>正常范围：与历史趋势及经营规模基本一致；关注范围：明显偏离历史趋势或资产结构变化；高风险范围：大幅异常增长且无法由融资、经营、并购等解释</t>
    <phoneticPr fontId="1" type="noConversion"/>
  </si>
  <si>
    <t>经营现金流变化与货币资金变动可合理解释</t>
    <phoneticPr fontId="1" type="noConversion"/>
  </si>
  <si>
    <t>货币资金明显增长但经营现金流未同步改善</t>
    <phoneticPr fontId="1" type="noConversion"/>
  </si>
  <si>
    <t>货币资金大幅增加且经营现金流长期背离、无法解释</t>
    <phoneticPr fontId="1" type="noConversion"/>
  </si>
  <si>
    <t>正常范围：经营现金流变化与货币资金变动可合理解释；关注范围：货币资金明显增长但经营现金流未同步改善；高风险范围：货币资金大幅增加且经营现金流长期背离、无法解释</t>
    <phoneticPr fontId="1" type="noConversion"/>
  </si>
  <si>
    <t>融资规模与现金需求、用途基本匹配</t>
    <phoneticPr fontId="1" type="noConversion"/>
  </si>
  <si>
    <t>同时存在较高货币资金和有息负债</t>
    <phoneticPr fontId="1" type="noConversion"/>
  </si>
  <si>
    <t>长期高额货币资金与高额有息负债并存且资金用途/可用性无法解释</t>
    <phoneticPr fontId="1" type="noConversion"/>
  </si>
  <si>
    <t>正常范围：融资规模与现金需求、用途基本匹配；关注范围：同时存在较高货币资金和有息负债；高风险范围：长期高额货币资金与高额有息负债并存且资金用途/可用性无法解释</t>
    <phoneticPr fontId="1" type="noConversion"/>
  </si>
  <si>
    <t>可验证余额一致</t>
    <phoneticPr fontId="1" type="noConversion"/>
  </si>
  <si>
    <t>存在需解释的差异</t>
    <phoneticPr fontId="1" type="noConversion"/>
  </si>
  <si>
    <t>存在重大直接差异或无法取得合理证明</t>
    <phoneticPr fontId="1" type="noConversion"/>
  </si>
  <si>
    <t>正常范围：可验证余额一致；关注范围：存在需解释的差异；高风险范围：存在重大直接差异或无法取得合理证明</t>
    <phoneticPr fontId="1" type="noConversion"/>
  </si>
  <si>
    <t>三者与融资活动一致</t>
    <phoneticPr fontId="1" type="noConversion"/>
  </si>
  <si>
    <t>局部不匹配</t>
    <phoneticPr fontId="1" type="noConversion"/>
  </si>
  <si>
    <t>多项同时异常且无法解释</t>
    <phoneticPr fontId="1" type="noConversion"/>
  </si>
  <si>
    <t>正常范围：三者与融资活动一致；关注范围：局部不匹配；高风险范围：多项同时异常且无法解释</t>
    <phoneticPr fontId="1" type="noConversion"/>
  </si>
  <si>
    <t>受限原因、质押及资金往来披露一致</t>
    <phoneticPr fontId="1" type="noConversion"/>
  </si>
  <si>
    <t>存在披露或资金用途疑点</t>
    <phoneticPr fontId="1" type="noConversion"/>
  </si>
  <si>
    <t>资金实际被占用/受限但年报未充分披露</t>
    <phoneticPr fontId="1" type="noConversion"/>
  </si>
  <si>
    <t>正常范围：受限原因、质押及资金往来披露一致；关注范围：存在披露或资金用途疑点；高风险范围：资金实际被占用/受限但年报未充分披露</t>
    <phoneticPr fontId="1" type="noConversion"/>
  </si>
  <si>
    <t>规模与并购历史及资产结构相匹配</t>
    <phoneticPr fontId="1" type="noConversion"/>
  </si>
  <si>
    <t>商誉占比明显偏高</t>
    <phoneticPr fontId="1" type="noConversion"/>
  </si>
  <si>
    <t>商誉重大且高度集中于经营恶化资产组</t>
    <phoneticPr fontId="1" type="noConversion"/>
  </si>
  <si>
    <t>正常范围：规模与并购历史及资产结构相匹配；关注范围：商誉占比明显偏高；高风险范围：商誉重大且高度集中于经营恶化资产组</t>
    <phoneticPr fontId="1" type="noConversion"/>
  </si>
  <si>
    <t>业绩基本达到或偏差有充分解释</t>
    <phoneticPr fontId="1" type="noConversion"/>
  </si>
  <si>
    <t>明显未达标</t>
    <phoneticPr fontId="1" type="noConversion"/>
  </si>
  <si>
    <t>连续未达标且无充分减值依据/解释</t>
    <phoneticPr fontId="1" type="noConversion"/>
  </si>
  <si>
    <t>正常范围：业绩基本达到或偏差有充分解释；关注范围：明显未达标；高风险范围：连续未达标且无充分减值依据/解释</t>
    <phoneticPr fontId="1" type="noConversion"/>
  </si>
  <si>
    <t>经营表现与减值测试预测基本一致</t>
    <phoneticPr fontId="1" type="noConversion"/>
  </si>
  <si>
    <t>实际表现明显弱于预测</t>
    <phoneticPr fontId="1" type="noConversion"/>
  </si>
  <si>
    <t>经营持续恶化但减值测试仍显示无需/极少减值</t>
    <phoneticPr fontId="1" type="noConversion"/>
  </si>
  <si>
    <t>正常范围：经营表现与减值测试预测基本一致；关注范围：实际表现明显弱于预测；高风险范围：经营持续恶化但减值测试仍显示无需/极少减值</t>
    <phoneticPr fontId="1" type="noConversion"/>
  </si>
  <si>
    <t>有历史及业务计划依据</t>
    <phoneticPr fontId="1" type="noConversion"/>
  </si>
  <si>
    <t>部分假设明显乐观或缺乏支持</t>
    <phoneticPr fontId="1" type="noConversion"/>
  </si>
  <si>
    <t>关键假设明显缺乏经营依据并直接支撑高可收回金额</t>
    <phoneticPr fontId="1" type="noConversion"/>
  </si>
  <si>
    <t>正常范围：有历史及业务计划依据；关注范围：部分假设明显乐观或缺乏支持；高风险范围：关键假设明显缺乏经营依据并直接支撑高可收回金额</t>
    <phoneticPr fontId="1" type="noConversion"/>
  </si>
  <si>
    <t>结果与经营情况一致</t>
    <phoneticPr fontId="1" type="noConversion"/>
  </si>
  <si>
    <t>减值结果对利润影响异常</t>
    <phoneticPr fontId="1" type="noConversion"/>
  </si>
  <si>
    <t>明显通过少计减值改善利润或净资产</t>
    <phoneticPr fontId="1" type="noConversion"/>
  </si>
  <si>
    <t>正常范围：结果与经营情况一致；关注范围：减值结果对利润影响异常；高风险范围：明显通过少计减值改善利润或净资产</t>
    <phoneticPr fontId="1" type="noConversion"/>
  </si>
  <si>
    <t>能够完整勾稽</t>
    <phoneticPr fontId="1" type="noConversion"/>
  </si>
  <si>
    <t>单一环节存在差异</t>
    <phoneticPr fontId="1" type="noConversion"/>
  </si>
  <si>
    <t>资产组范围、账面价值、可收回金额及减值损失多个环节不一致</t>
    <phoneticPr fontId="1" type="noConversion"/>
  </si>
  <si>
    <t>正常范围：能够完整勾稽；关注范围：单一环节存在差异；高风险范围：资产组范围、账面价值、可收回金额及减值损失多个环节不一致</t>
    <phoneticPr fontId="1" type="noConversion"/>
  </si>
  <si>
    <t>与收入增长及历史趋势匹配</t>
    <phoneticPr fontId="1" type="noConversion"/>
  </si>
  <si>
    <t>应收账款增长明显快于收入</t>
    <phoneticPr fontId="1" type="noConversion"/>
  </si>
  <si>
    <t>大幅增长且无信用政策、结算方式等合理解释</t>
    <phoneticPr fontId="1" type="noConversion"/>
  </si>
  <si>
    <t>正常范围：与收入增长及历史趋势匹配；关注范围：应收账款增长明显快于收入；高风险范围：大幅增长且无信用政策、结算方式等合理解释</t>
    <phoneticPr fontId="1" type="noConversion"/>
  </si>
  <si>
    <t>与历史及业务周期基本一致</t>
    <phoneticPr fontId="1" type="noConversion"/>
  </si>
  <si>
    <t>周转明显变慢</t>
    <phoneticPr fontId="1" type="noConversion"/>
  </si>
  <si>
    <t>持续明显恶化且伴随逾期增加、回款困难</t>
    <phoneticPr fontId="1" type="noConversion"/>
  </si>
  <si>
    <t>正常范围：与历史及业务周期基本一致；关注范围：周转明显变慢；高风险范围：持续明显恶化且伴随逾期增加、回款困难</t>
    <phoneticPr fontId="1" type="noConversion"/>
  </si>
  <si>
    <t>账龄结构与历史一致</t>
    <phoneticPr fontId="1" type="noConversion"/>
  </si>
  <si>
    <t>逾期或长期账龄明显增加</t>
    <phoneticPr fontId="1" type="noConversion"/>
  </si>
  <si>
    <t>大量长期逾期且无充分回款证据/担保</t>
    <phoneticPr fontId="1" type="noConversion"/>
  </si>
  <si>
    <t>正常范围：账龄结构与历史一致；关注范围：逾期或长期账龄明显增加；高风险范围：大量长期逾期且无充分回款证据/担保</t>
    <phoneticPr fontId="1" type="noConversion"/>
  </si>
  <si>
    <t>与账龄、客户信用风险和政策一致</t>
    <phoneticPr fontId="1" type="noConversion"/>
  </si>
  <si>
    <t>部分账龄计提明显偏低</t>
    <phoneticPr fontId="1" type="noConversion"/>
  </si>
  <si>
    <t>高风险/长期逾期应收仍维持明显偏低计提且无充分依据</t>
    <phoneticPr fontId="1" type="noConversion"/>
  </si>
  <si>
    <t>正常范围：与账龄、客户信用风险和政策一致；关注范围：部分账龄计提明显偏低；高风险范围：高风险/长期逾期应收仍维持明显偏低计提且无充分依据</t>
    <phoneticPr fontId="1" type="noConversion"/>
  </si>
  <si>
    <t>回款与收入变化基本一致</t>
    <phoneticPr fontId="1" type="noConversion"/>
  </si>
  <si>
    <t>回款明显弱于收入增长</t>
    <phoneticPr fontId="1" type="noConversion"/>
  </si>
  <si>
    <t>回款持续恶化而坏账准备未同步反映风险</t>
    <phoneticPr fontId="1" type="noConversion"/>
  </si>
  <si>
    <r>
      <t>正常范围：回款与收入变化基本一致；关注范围：</t>
    </r>
    <r>
      <rPr>
        <b/>
        <sz val="11"/>
        <color theme="1"/>
        <rFont val="宋体"/>
        <family val="3"/>
        <charset val="134"/>
        <scheme val="minor"/>
      </rPr>
      <t>回款明显弱于收入增长</t>
    </r>
    <r>
      <rPr>
        <sz val="11"/>
        <color theme="1"/>
        <rFont val="宋体"/>
        <family val="3"/>
        <charset val="134"/>
        <scheme val="minor"/>
      </rPr>
      <t>；高风险范围：回款持续恶化而坏账准备未同步反映风险</t>
    </r>
    <phoneticPr fontId="1" type="noConversion"/>
  </si>
  <si>
    <t>变动能够勾稽</t>
    <phoneticPr fontId="1" type="noConversion"/>
  </si>
  <si>
    <t>单一环节无法解释</t>
    <phoneticPr fontId="1" type="noConversion"/>
  </si>
  <si>
    <t>多个环节同时异常或存在虚增应收账款证据</t>
    <phoneticPr fontId="1" type="noConversion"/>
  </si>
  <si>
    <t>正常范围：变动能够勾稽；关注范围：单一环节无法解释；高风险范围：多个环节同时异常或存在虚增应收账款证据</t>
    <phoneticPr fontId="1" type="noConversion"/>
  </si>
  <si>
    <t>财务数据 + 年报原文</t>
  </si>
  <si>
    <t>关联方代垫费用 体外报销 市场推广 渠道费 业务扩张</t>
  </si>
  <si>
    <t>其他费用 咨询费 服务费 中介机构费 差旅费</t>
  </si>
  <si>
    <t>支付的其他与经营活动有关的现金 经营现金流出 费用付现</t>
  </si>
  <si>
    <t>应付职工薪酬 员工人数 人均薪酬 工资 奖金 社保</t>
  </si>
  <si>
    <t>费用增长率 营业收入增长 费用‑收入弹性同比变动</t>
  </si>
  <si>
    <t>销售费用 管理费用 研发费用 期间费用 费用率 推广费 广告费 服务费</t>
  </si>
  <si>
    <t>普通行业＞25%；营销类＞30%，附注无明细拆分</t>
  </si>
  <si>
    <t>＜0.5，往来科目无法解释缺口</t>
  </si>
  <si>
    <t>员工大幅扩招，薪酬总额几乎不增长，无外包替代披露</t>
  </si>
  <si>
    <t>偏离度＜‑20%，营收扩张，费用几乎不增长</t>
  </si>
  <si>
    <t>较历史下降＞10pct，无合理解释
低于行业中位数＞8pct，业务模式无本质差异</t>
  </si>
  <si>
    <t>普通行业 15%‑25%；营销类 20%‑30%</t>
  </si>
  <si>
    <t>0.5-0.7或1.3-1.6</t>
  </si>
  <si>
    <t>员工增加，但薪酬总额提升不足</t>
  </si>
  <si>
    <t>‑20% ≤偏离度＜‑10%</t>
  </si>
  <si>
    <t>较历史下降 5‑10pct，无合理解释
低于行业中位数 3‑8pct，业务模式无本质差异</t>
  </si>
  <si>
    <t>其他费用占期间费用比重：普通行业≤15%；营销类行业≤20%</t>
  </si>
  <si>
    <t>支付其他经营现金 / 账面期间费用：0.7-1.3</t>
  </si>
  <si>
    <t>人员扩张，薪酬总额同步上涨</t>
  </si>
  <si>
    <t>费用‑营收偏离度：‑10% ≤偏离度 ≤+10%</t>
  </si>
  <si>
    <t>指标1：期间费用率对比自身历史2-3年：波动≤5 个百分点
指标2：期间费用率对比同行业中位数：与行业中位数偏差≤3pct</t>
  </si>
  <si>
    <t>年报业务描述、人员披露、分部报告、前五大供应商附注</t>
  </si>
  <si>
    <t>利润表期间费用明细附注</t>
  </si>
  <si>
    <t>现金流量表、利润表期间费用附注</t>
  </si>
  <si>
    <t>利润表、应付职工薪酬附注、年报员工情况披露</t>
  </si>
  <si>
    <t>利润表、营业收入、期间费用附注</t>
  </si>
  <si>
    <t>利润表、营业收入、销售 / 管理 / 研发费用附注</t>
  </si>
  <si>
    <t>定性+定量</t>
  </si>
  <si>
    <t>业务扩张幅度 vs 期间费用变动幅度（无直接计算公式，依赖业务文本 + 财务指标联合判断）</t>
  </si>
  <si>
    <t>其他费用÷当期期间费用总额</t>
  </si>
  <si>
    <t>支付的其他与经营活动有关的现金 ÷ 账面期间费用合计</t>
  </si>
  <si>
    <t>人均薪酬=当期薪酬总费用÷平均员工人数员工
总人数变动率=(本期平均员工‑上期平均员工)÷上期平均员工</t>
  </si>
  <si>
    <t>销售费用增长率=(本期销售费用‑上期销售费用)÷上期销售费用
营业收入增长率=(本期营收‑上期营收)÷上期营收
费用‑营收偏离度=销售费用增长率‑营业收入增长率</t>
  </si>
  <si>
    <t>销售费用率=销售费用÷营业收入
管理费用率=管理费用÷营业收入
研发费用率=研发费用÷营业收入
期间费用合计率=(销售+管理+ 研发费用)÷营业收入</t>
  </si>
  <si>
    <t>业务扩张与费用变动逻辑不匹配</t>
  </si>
  <si>
    <t>其他类期间费用占比异常</t>
  </si>
  <si>
    <t>费用现金流出与账面费用不匹配</t>
  </si>
  <si>
    <t>人力薪酬与员工规模不匹配</t>
  </si>
  <si>
    <t>费用增速与营收增速严重背离</t>
  </si>
  <si>
    <t>期间费用率异常下降</t>
  </si>
  <si>
    <t>R005-S06</t>
  </si>
  <si>
    <t>R005-S05</t>
  </si>
  <si>
    <t>R005-S04</t>
  </si>
  <si>
    <t>R005-S03</t>
  </si>
  <si>
    <t>R005-S02</t>
  </si>
  <si>
    <t>R005-S01</t>
  </si>
  <si>
    <t>企业通过账内少确认 / 跨期延后确认期间费用，或由实控人、关联方体外代垫经营支出、账外承担上市公司费用，不在账面确认相关成本费用，虚增当期利润。</t>
  </si>
  <si>
    <t>成本与费用类舞弊</t>
  </si>
  <si>
    <t>期间费用少计与账外承担风险</t>
  </si>
  <si>
    <t>R005</t>
  </si>
  <si>
    <t>财务数据+年报原文；</t>
  </si>
  <si>
    <t>研发项目 专利 新产品 研发成果 产业化</t>
  </si>
  <si>
    <t>研发投入 现金流出 支付现金 研发支出付现</t>
  </si>
  <si>
    <t>开发支出 资本化 转入无形资产 摊销 无形资产</t>
  </si>
  <si>
    <t>研发人员 研发人数 人均研发 研发薪酬</t>
  </si>
  <si>
    <t>研发投入 研发强度 营业收入 研发费用率</t>
  </si>
  <si>
    <t>研发资本化 开发支出 资本化率 费用化</t>
  </si>
  <si>
    <t>比值＜0.5，账面列支大额研发投入，但现金流出明显不足，往来无法解释</t>
  </si>
  <si>
    <t>开发支出长期大额挂账、很少转入无形资产或摊销，资本化支出持续计入开发支出不结转</t>
  </si>
  <si>
    <t>人均研发投入异常高企，同时研发人员数量、研发项目披露笼统；研发投入大额增长，但研发人员基本不变，且无外部研发外包披露</t>
  </si>
  <si>
    <t>投入强度大幅下滑＞10个百分点，或资本化率同步异常上升以维持"研发投入"账面体量；研发投入账面金额大，但费用化金额很小、资本化占比异常高</t>
  </si>
  <si>
    <t>资本化率较自身历史上升＞10个百分点，且项目进入开发阶段无充分披露；较同行业中位数高＞20个百分点，且开发支出占总研发比重持续攀升</t>
  </si>
  <si>
    <t>0.5-0.7或1.3-1.6，需核查应付变动</t>
  </si>
  <si>
    <t>存在单一环节无法解释的差额</t>
  </si>
  <si>
    <t>人均投入显著高于行业薪酬水平，缺乏项目说明</t>
  </si>
  <si>
    <t>较自身历史下降5-10个百分点，或低于行业但无规模差异解释；明显低于同行业，业务无研发占比下降解释</t>
  </si>
  <si>
    <t>资本化率较自身历史上升5-10个百分点；较同行业中位数高10-20个百分点</t>
  </si>
  <si>
    <t>比值0.7-1.3，受应付、票据结算可解释</t>
  </si>
  <si>
    <t>当期资本化支出与开发支出增加额、转入无形资产、摊销之间能完整勾稽</t>
  </si>
  <si>
    <t>与行业薪资水平、研发阶段匹配，研发人员、项目、投入三者自洽</t>
  </si>
  <si>
    <t>≥3%（高新技术企业认定门槛），与公司历史及行业合理区间一致；与历史及行业可比</t>
  </si>
  <si>
    <t>资本化率稳定，波动≤5个百分点；与同行业中位数偏差≤10个百分点</t>
  </si>
  <si>
    <t>年报研发项目/专利披露、研发人员、新产品收入</t>
  </si>
  <si>
    <t>现金流量表、研发投入附注</t>
  </si>
  <si>
    <t>资产负债表开发支出附注、无形资产附注</t>
  </si>
  <si>
    <t>研发投入附注、年报研发人员披露</t>
  </si>
  <si>
    <t>利润表、营业收入、研发投入附注</t>
  </si>
  <si>
    <t>利润表研发费用附注、开发支出附注</t>
  </si>
  <si>
    <t>定量
（纵向+横向对比）</t>
  </si>
  <si>
    <t>研发投入增长率 vs 新增专利/新产品/新业务收入增长率
研发项目数量、研发人员规模 vs 研发投入增速</t>
  </si>
  <si>
    <t>支付给职工及为职工支付的现金(研发相关)÷研发投入中薪酬部分
"购买商品、接受劳务支付的现金"中研发相关部分</t>
  </si>
  <si>
    <t>开发支出期末-期初差额=当期资本化研发支出-当期转入无形资产-当期摊销
资本化支出÷当期开发支出增加额</t>
  </si>
  <si>
    <t>人均研发投入=当期研发投入总额÷平均研发人员数
人均研发投入变动率=(本期-上期)÷上期</t>
  </si>
  <si>
    <t>研发投入强度=研发投入总额÷营业收入
研发费用率=研发费用÷营业收入</t>
  </si>
  <si>
    <t>研发资本化率=当期资本化研发支出÷研发投入总额
研发投入总额=费用化研发费用+资本化研发支出</t>
  </si>
  <si>
    <t>研发投入与研发产出不匹配</t>
  </si>
  <si>
    <t>研发投入现金流出与账面投入不匹配</t>
  </si>
  <si>
    <t>资本化研发支出与开发支出/无形资产勾稽异常</t>
  </si>
  <si>
    <t>人均研发投入异常</t>
  </si>
  <si>
    <t>研发投入强度异常</t>
  </si>
  <si>
    <t>研发资本化率异常偏高</t>
  </si>
  <si>
    <t>R006-S06</t>
  </si>
  <si>
    <t>R006-S05</t>
  </si>
  <si>
    <t>R006-S04</t>
  </si>
  <si>
    <t>R006-S03</t>
  </si>
  <si>
    <t>R006-S02</t>
  </si>
  <si>
    <t>R006-S01</t>
  </si>
  <si>
    <t>企业通过操纵研发支出的资本化与费用化处理，或虚增研发投入金额，虚增资产或调节利润。常见手段：将不满足资本化条件的支出计入开发支出，减少当期费用虚增利润；虚构研发项目、研发劳务虚增研发投入，用于套取政府补助、维持高新技术企业资质。</t>
  </si>
  <si>
    <t>研发费用舞弊</t>
  </si>
  <si>
    <t>R006</t>
  </si>
  <si>
    <t>发出商品 在途物资 材料采购 原材料 库存商品 存货结构</t>
  </si>
  <si>
    <t>库龄 账龄 积压 过时 呆滞 变质</t>
  </si>
  <si>
    <t>采购 营业成本 应付账款 现金采购 存货增加</t>
  </si>
  <si>
    <t>第三方仓储 代保管 仓单 保税仓 公共仓库 委托保管</t>
  </si>
  <si>
    <t>存货跌价准备 跌价损失 计提比例 可变现净值 减值测试</t>
  </si>
  <si>
    <t>存货 库存商品 原材料 发出商品 存货周转率 存货余额</t>
  </si>
  <si>
    <t>大量超长库龄/过时/变质存货，跌价准备仍按低比例计提，无市价与处置依据</t>
  </si>
  <si>
    <t>存货持续大额增加，但采购现金支出、应付变动无法支撑该增量，无合理说明</t>
  </si>
  <si>
    <t>占比＞30%，大额存货存放第三方/代保管，年报披露仓储情况笼统，无法核实实物（广州浪奇特征）</t>
  </si>
  <si>
    <t>存货市价下跌、库龄恶化，但跌价准备几乎不计提或大幅低于历史/同行合理水平；存货大幅增长、库龄恶化，同时跌价准备未增加或反而下降</t>
  </si>
  <si>
    <t>存货大幅增长，而营业成本/销售基本不增长，无扩产、囤货、原材料涨价解释；存货周转持续显著放缓，库存积压与收入/成本变动严重背离</t>
  </si>
  <si>
    <t>长期库龄存货占比上升，但计提比例未同步上调</t>
  </si>
  <si>
    <t>单一环节存在无法解释差额</t>
  </si>
  <si>
    <t>占比15%-30%，仓储协议、盘点记录披露不充分</t>
  </si>
  <si>
    <t>部分账龄段计提明显偏低；存货快速增长但跌价准备未同步增长</t>
  </si>
  <si>
    <t>存货增长明显快于成本增长；周转率较历史或同行明显放缓</t>
  </si>
  <si>
    <t>库龄结构与历史、行业一致，计提比例匹配</t>
  </si>
  <si>
    <t>存货变动能与采购现金、应付账款、生产成本勾稽</t>
  </si>
  <si>
    <t>占比低（一般≤15%），有真实仓储协议支撑</t>
  </si>
  <si>
    <t>计提比例与库龄结构、行业可比、历史水平匹配；跌价准备随存货规模、市价变动合理波动</t>
  </si>
  <si>
    <t>两者增速大体匹配（偏离在合理区间）；周转率与自身历史、行业可比水平一致</t>
  </si>
  <si>
    <t>存货附注明细（原材料/在产品/库存商品/发出商品/在途）</t>
  </si>
  <si>
    <t>存货附注库龄明细、跌价准备计提政策</t>
  </si>
  <si>
    <t>资产负债表、现金流量表、存货及应付附注</t>
  </si>
  <si>
    <t>存货附注、仓储/保管协议披露</t>
  </si>
  <si>
    <t>资产负债表存货跌价准备附注、库龄表</t>
  </si>
  <si>
    <t>资产负债表存货附注、利润表营业成本</t>
  </si>
  <si>
    <t>发出商品÷存货总额
在途物资/材料采购÷存货总额
各明细科目占比同比变动</t>
  </si>
  <si>
    <t>按库龄分类的存货占比（1年/1-3年/3年以上）
各库龄段跌价准备计提比例</t>
  </si>
  <si>
    <t>存货增长率-营业成本增长率
存货增加额-(采购现金支出-应付账款变动)
存货增长与销售增长匹配度</t>
  </si>
  <si>
    <t>代保管/第三方仓储存货÷存货总额</t>
  </si>
  <si>
    <t>存货跌价准备÷存货账面余额
存货跌价准备变动额=期末-期初（结合库龄、市价下跌判断计提是否充分）</t>
  </si>
  <si>
    <t>存货增长率=(本期存货-上期存货)÷上期存货
存货周转率=营业成本÷平均存货
存货周转天数=365÷存货周转率</t>
  </si>
  <si>
    <t>存货科目结构性突变（发出商品/在途等）</t>
  </si>
  <si>
    <t>存货库龄结构恶化但未计提跌价</t>
  </si>
  <si>
    <t>存货与购销、现金勾稽异常</t>
  </si>
  <si>
    <t>第三方仓储/代保管存货占比异常</t>
  </si>
  <si>
    <t>存货跌价准备计提不足</t>
  </si>
  <si>
    <t>存货余额异常增长、周转率下降</t>
  </si>
  <si>
    <t>R007-S06</t>
  </si>
  <si>
    <t>R007-S05</t>
  </si>
  <si>
    <t>R007-S04</t>
  </si>
  <si>
    <t>R007-S03</t>
  </si>
  <si>
    <t>R007-S02</t>
  </si>
  <si>
    <t>R007-S01</t>
  </si>
  <si>
    <t>企业通过虚增存货余额、低估跌价风险、藏匿盘亏等方式虚增资产和利润。主要手段：虚构采购、在途或发出商品虚增存货；通过第三方仓储、代保管仓单虚增本不存在的实物存货；存货库龄恶化、市价下跌时低估或延迟计提存货跌价准备；对已发生盘亏的存货不做账务处理继续挂账。参考案例：广州浪奇、金正大、紫鑫药业。</t>
  </si>
  <si>
    <t>存货造假</t>
  </si>
  <si>
    <t>R007</t>
  </si>
  <si>
    <t>财务数据+年报原文+外部公开公告交叉比对；</t>
  </si>
  <si>
    <t>会计差错 差错更正 追溯调整 更正公告 前期差错</t>
  </si>
  <si>
    <t>重大资产重组 股权转让 并购 控制权变更 延期</t>
  </si>
  <si>
    <t>关联交易 关联方 资金占用 非经营性占用 往来款</t>
  </si>
  <si>
    <t>重大诉讼 仲裁 担保 质押 冻结 债务逾期</t>
  </si>
  <si>
    <t>审计意见 非标意见 保留意见 无法表示意见 审计机构变更 会计师事务所更换</t>
  </si>
  <si>
    <t>业绩预告 业绩快报 业绩修正 净利润预告 盈利预测</t>
  </si>
  <si>
    <t>重大资产/股权转让、控制权变更、重组进展重大延迟披露，或披露内容与实际情况矛盾（ST实达1元转让延迟、虚假增持）</t>
  </si>
  <si>
    <t>存在大额非经营性往来、疑似关联方交易，但年报完全未披露关联关系或资金占用（*ST天马、宜华生活特征）</t>
  </si>
  <si>
    <t>外部已爆出重大诉讼、大额担保、质押冻结、债务逾期，但年报对应章节完全空白（辅仁隐瞒28.51亿担保）</t>
  </si>
  <si>
    <t>无法表示意见/否定意见，或2年内2次以上更换审计机构且理由牵强</t>
  </si>
  <si>
    <t>偏差＞40%，或预告盈亏性质反转（预告盈利实际巨亏）且更正滞后（ST实达：偏差41.7%、逾期披露）</t>
  </si>
  <si>
    <t>存在披露滞后，但幅度较小</t>
  </si>
  <si>
    <t>存在大额往来但关联关系披露不清晰</t>
  </si>
  <si>
    <t>部分事项外部已有公告但年报披露不完整</t>
  </si>
  <si>
    <t>保留意见/带强调事项段，或近两年更换审计机构</t>
  </si>
  <si>
    <t>偏差20%-40%，更正及时、解释较充分</t>
  </si>
  <si>
    <t>重大事项按规及时公告</t>
  </si>
  <si>
    <t>关联方交易、往来款披露完整</t>
  </si>
  <si>
    <t>年报披露与外部裁判文书、交易所公告、工商信息一致</t>
  </si>
  <si>
    <t>标准无保留意见，审计机构稳定</t>
  </si>
  <si>
    <t>偏差≤20%，差异合理且及时说明原因</t>
  </si>
  <si>
    <t>年报会计差错更正公告、前期差错更正附注</t>
  </si>
  <si>
    <t>年报重大事项、股东变动、重组进展公告</t>
  </si>
  <si>
    <t>年报关联方交易附注、往来科目、资金占用披露</t>
  </si>
  <si>
    <t>年报重大诉讼/担保/质押冻结附注；外部裁判文书、交易所问询公告</t>
  </si>
  <si>
    <t>年报审计报告、审计机构变更公告</t>
  </si>
  <si>
    <t>业绩预告公告、年报利润表</t>
  </si>
  <si>
    <t>定性（RAG文本检索）</t>
  </si>
  <si>
    <t>定性</t>
  </si>
  <si>
    <t>会计差错更正次数、更正涉及年度数、更正金额占比</t>
  </si>
  <si>
    <t>检索年报重大事项、临时公告披露时点</t>
  </si>
  <si>
    <t>检索年报关联交易、资金占用披露完整性</t>
  </si>
  <si>
    <t>检索年报附注 vs 外部公开公告交叉比对</t>
  </si>
  <si>
    <t>读取审计报告意见类型及审计机构变更情况</t>
  </si>
  <si>
    <t>业绩预告偏差幅度=(｜年报实际净利润-业绩预告区间上限｜)÷业绩预告区间上限</t>
  </si>
  <si>
    <t>财务报告频繁差错更正</t>
  </si>
  <si>
    <t>重大资产股权变动、重组延迟披露</t>
  </si>
  <si>
    <t>关联交易、资金占用披露缺失</t>
  </si>
  <si>
    <t>重大诉讼、担保、质押冻结披露遗漏</t>
  </si>
  <si>
    <t>年报/审计意见异常、审计机构频繁更换</t>
  </si>
  <si>
    <t>业绩预告与实际业绩严重背离</t>
  </si>
  <si>
    <t>R017-S06</t>
  </si>
  <si>
    <t>R017-S05</t>
  </si>
  <si>
    <t>R017-S04</t>
  </si>
  <si>
    <t>R017-S03</t>
  </si>
  <si>
    <t>R017-S02</t>
  </si>
  <si>
    <t>R017-S01</t>
  </si>
  <si>
    <t>上市公司对依法应当披露的重大事件、关联交易、担保、诉讼、业绩预告等事项，未按规定及时、真实、准确、完整披露，或披露内容存在虚假记载、误导性陈述、重大遗漏。主要手段：隐瞒未披露违规担保、关联资金占用、重大诉讼、股权质押冻结、债务逾期；业绩预告与实际经营结果严重背离且不及时更正；通过虚假增持、虚假回款公告误导市场；重大资产或股权变动延迟披露；频繁进行会计差错更正。参考案例：ST实达、*ST天马、辅仁药业、越博动力。</t>
  </si>
  <si>
    <t>信息披露类舞弊</t>
  </si>
  <si>
    <t>重大事项信息披露遗漏、虚假记载</t>
  </si>
  <si>
    <t>R017</t>
  </si>
  <si>
    <t>备注：选取前五大客户，一是上市公司年报强制披露前五大客户数据，公开数据可获取；二是舞弊主体倾向于通过少数大额对手高效虚增营收，前五大客户对报表影响重大；同时正常企业核心大客户通常具备业务延续性，新闯入前五大的陌生客户具备较高舞弊嫌疑。缺陷是无法识别刻意控制在前五之外的虚假客户。</t>
  </si>
  <si>
    <t>年报关联交易附注、董事会报告、交易所问询函及回复、监管处罚公告</t>
  </si>
  <si>
    <t>货币资金流水、银行回单、往来明细账、客户供应商银行账户信息、问询函资金流水核查回复</t>
  </si>
  <si>
    <t>年报分产品毛利率、客户账龄明细、销售合同、采购合同、交易所监管函</t>
  </si>
  <si>
    <t>年报前五大客户供应商、利润表营业收入、营业成本、采购销售明细台账</t>
  </si>
  <si>
    <t>客户供应商工商档案、股权穿透、董监高及实控人亲属对外投资企业、企查查天眼查、问询函回复</t>
  </si>
  <si>
    <t>年报前五大客户、前五大供应商披露、营业收入明细、客户供应商工商信息、交易所问询函</t>
  </si>
  <si>
    <t>穿透核查确认属于关联交易，但年报未披露，直接触发高风险；被交易所问询关联关系存疑触发关注</t>
  </si>
  <si>
    <t>流向关联方占比 &gt;20% 触发关注；&gt;50% 触发高风险。 • 识别出资金闭环 → 直接触发高风险（保留）。</t>
  </si>
  <si>
    <t xml:space="preserve"> 毛利率正向偏离 &gt; +50%（即高于综合毛利率50%）触发关注（虚增营收嫌疑）；&gt; +100% 触发高风险。 • 毛利率负向偏离 &lt; -30%（即低于综合毛利率30%）触发关注（利益输送嫌疑）；&lt; -50% 触发高风险。 • 账期偏离度建议增加绝对值阈值：“账期高于平均账期60天以上且无合理解释”触发关注。</t>
  </si>
  <si>
    <t>陌生第三方营收占比＞30% 触发关注；陌生第三方采购占比＞30% 触发关注</t>
  </si>
  <si>
    <t>隐性关联交易规模占营收 &gt;5% 触发关注；&gt;10% 触发高风险。 • 只要发现工商、人员、地址、电话重合即触发高风险</t>
  </si>
  <si>
    <t>前五大新增陌生客户营收占比合计 &gt;15% 触发关注；&gt;30% 触发高风险。 • 前五大新增陌生供应商采购占比合计 &gt;15% 触发关注；&gt;30% 触发高风险。 • 成立当年即成为前五大客户/供应商 → 直接触发高风险</t>
  </si>
  <si>
    <t>1.穿透识别的关联交易，年报未列入关联交易板块    2.交易对手实际为关联方，但披露为独立第三方    3.交易所问询后才补披露关联关系</t>
  </si>
  <si>
    <t xml:space="preserve">1.客户回款来自实控人及其关联方金额占比 = 该类回款金额 ÷ 对应客户应收账款回款总额 ×100%        2.供应商付款流向实控人关联方金额占比 = 该类付款金额 ÷ 对应供应商总付款金额 ×100%     3.资金闭环识别：客户回款‑供应商付款流向形成闭环      </t>
  </si>
  <si>
    <t>1.交易毛利率偏离度 =（该笔交易毛利率‑公司综合毛利率）÷ 公司综合毛利率 ×100%     2.账期偏离度 = 该客户账期‑公司常规客户平均账期       3.无合理商业理由的大额交易</t>
  </si>
  <si>
    <t>1.陌生第三方营收占比 = 来自陌生第三方客户营业收入 ÷ 总营业收入 ×100%   2.陌生第三方采购占比 = 来自陌生第三方供应商采购额 ÷ 总采购金额 ×100%   3.前五大客户中新增主体数量占比   4.单笔大额陌生客户销售占营收比重</t>
  </si>
  <si>
    <t xml:space="preserve">1.隐性关联方交易规模占比 = 穿透识别的伪装关联方交易金额 ÷ 营业收入 ×100%     2.工商股权穿透重合度：董监高、实控人亲属对外投资企业与客户供应商重合情况    3.人员、办公地址、联系方式重合识别 </t>
  </si>
  <si>
    <t>1.新增大客户营收占比 = 本期新增前五大客户营收 ÷ 全部营业收入 ×100%     2.新增大供应商采购占比 = 本期新增前五大供应商采购额 ÷ 营业成本 ×100%    3.新增大客户 / 供应商成立时间距离交易发生时间间隔</t>
  </si>
  <si>
    <t>定量 + 定性</t>
  </si>
  <si>
    <t>关联关系隐瞒，未在年报披露关联交易</t>
  </si>
  <si>
    <t>交易回款付款高度依赖关联方资金循环</t>
  </si>
  <si>
    <t>交易商业实质存疑，交易条款异常</t>
  </si>
  <si>
    <t>对陌生第三方营收 / 采购占比异常偏高</t>
  </si>
  <si>
    <t>客户供应商与实控人 / 高管存在隐性关联关系</t>
  </si>
  <si>
    <t>新增大额陌生第三方客户 / 供应商</t>
  </si>
  <si>
    <t>R012-S06</t>
  </si>
  <si>
    <t>R012-S05</t>
  </si>
  <si>
    <t>R012-S04</t>
  </si>
  <si>
    <t>R012-S03</t>
  </si>
  <si>
    <t>R012-S02</t>
  </si>
  <si>
    <t>R012-S01</t>
  </si>
  <si>
    <t>把关联方伪装成第三方客户供应商，虚构业务，输送利益、虚增营收，隐瞒关联关系。</t>
  </si>
  <si>
    <t>关联交易与资金占用类</t>
  </si>
  <si>
    <t>关联交易非关联化</t>
  </si>
  <si>
    <t>R012</t>
  </si>
  <si>
    <t>资金占用、非经营性资金占用、体外公司、资金回流、资金闭环、资金挪用、资金流向</t>
  </si>
  <si>
    <t>实际控制人、大股东、股权质押、股份冻结、高质押率、质押公告、资金紧张</t>
  </si>
  <si>
    <t>大存大贷、存贷双高、货币资金、有息负债、短期借款、财务费用、利息收入、受限资金</t>
  </si>
  <si>
    <t>贸易往来、空转贸易、大宗贸易、贸易业务、无商业实质、货物流转、虚构贸易</t>
  </si>
  <si>
    <t>其他应收款、往来款、其他非流动资产、资金拆借、备用金、欠款方、坏账</t>
  </si>
  <si>
    <t>预付款项、预付账款、预付工程款、预付货款、账龄、长期挂账、大额预付</t>
  </si>
  <si>
    <t>＞30% 高度可疑</t>
  </si>
  <si>
    <t>实控人股权质押比例＞70% 触发关注。</t>
  </si>
  <si>
    <t>有息负债远高于账面货币资金，利息收入显著低于活期存款合理收益，触发关注</t>
  </si>
  <si>
    <t>贸易业务毛利率趋近于 0（0‑2% 区间）触发关注；规模巨大但几乎不产生毛利</t>
  </si>
  <si>
    <t>其他应收款占总资产＞5% 触发关注；同比大幅异常增加</t>
  </si>
  <si>
    <t>预付款项增长率同比大幅飙升；长账龄预付占比＞30% 触发关注</t>
  </si>
  <si>
    <t>资产负债表（预付款、其他应收款）、**银行流水（核心）**、工商信息（穿透对手是谁控制）、理财 / 私募基金投向公告。</t>
  </si>
  <si>
    <t>年报附注「实际控制人、股东持股、股份质押冻结情况」，还有交易所披露的股权质押临时公告。</t>
  </si>
  <si>
    <t>资产负债表（货币资金、短期借款、长期借款、应付债券、一年内到期的非流动负债）；利润表（财务费用、利息收入）；年报附注：借款明细、货币资金受限说明</t>
  </si>
  <si>
    <t>利润表（营业收入、营业成本）；年报附注：分部业务、贸易业务披露；重大合同公告；工商对手信息</t>
  </si>
  <si>
    <t>资产负债表（其他应收款、总资产）；年报附注：其他应收款账龄、欠款方明细、坏账准备</t>
  </si>
  <si>
    <t>资产负债表（预付款项）；年报附注：预付款项账龄明细、预付对象明细；现金流量表（购买商品支付的现金）</t>
  </si>
  <si>
    <t>资金回流比率 = 流出后最终回流实控人 / 体外公司的资金额 ÷ 预付款及其他应收款新增总额 × 100%</t>
  </si>
  <si>
    <t>实控人股权质押比例 = 实控人已质押股份数 ÷ 实控人持股总数 × 100%</t>
  </si>
  <si>
    <t>有息负债 / 货币资金 =（短期借款 + 长期借款 + 应付债券 + 一年内到期非流动负债）÷ 货币资金</t>
  </si>
  <si>
    <t>贸易业务毛利率 =（贸易收入−贸易成本）÷ 贸易收入 × 100%</t>
  </si>
  <si>
    <t>其他应收款占总资产比 = 其他应收款 ÷ 总资产 × 100%</t>
  </si>
  <si>
    <t>1.预付款项增长率 =（本期预付款项−上期预付款项）÷ 上期预付款项 × 100%  2.长账龄预付占比 = 账龄 1 年以上预付款项 ÷ 预付款项总额 × 100%</t>
  </si>
  <si>
    <t>资金流向穿透后到达实控人或体外公司</t>
  </si>
  <si>
    <t>实控人高比例质押 / 资金紧张（占用动机）</t>
  </si>
  <si>
    <t>货币资金与有息负债 "大存大贷"</t>
  </si>
  <si>
    <t>贸易往来异常（无商业实质的大额采购 / 销售）</t>
  </si>
  <si>
    <t>其他应收款异常增长 / 大额挂账</t>
  </si>
  <si>
    <t>预付款项异常增长 / 长期挂账；</t>
  </si>
  <si>
    <t>R013-S06</t>
  </si>
  <si>
    <t>R013-S05</t>
  </si>
  <si>
    <t>R013-S04</t>
  </si>
  <si>
    <t>R013-S03</t>
  </si>
  <si>
    <t>RO13-S02</t>
  </si>
  <si>
    <t>R013-S01</t>
  </si>
  <si>
    <t>上市公司资金通过预付款、其他应收款、贸易往来流向实控人及其体外公司；资金被挪用。</t>
  </si>
  <si>
    <t>大股东/实控人资金占用</t>
  </si>
  <si>
    <t>R013</t>
  </si>
  <si>
    <t>实际控制人、股权质押、股份冻结、债务违约、被执行人、失信被执行人、资金链、高负债</t>
  </si>
  <si>
    <t>重大诉讼、仲裁、起诉、被诉、连带清偿责任、担保纠纷、裁判文书、监管函、警示函</t>
  </si>
  <si>
    <t>预计负债、或有负债、营业外支出、担保代偿、连带责任、未决诉讼、未决仲裁、计提</t>
  </si>
  <si>
    <t>或有事项、对外担保、未披露担保、隐瞒担保、担保明细、担保对象、关联方担保、或有负债</t>
  </si>
  <si>
    <t>对外担保、担保总额、担保余额、董事会审议、股东大会审议、审议程序、担保公告、连带责任担保、反担保</t>
  </si>
  <si>
    <t>实控人股权质押比例＞70% 触发关注；实控人存在债务违约 / 被执行记录触发高风险</t>
  </si>
  <si>
    <t>涉诉担保金额占净资产＞10% 触发关注；单笔担保涉诉金额＞5000 万触发关注</t>
  </si>
  <si>
    <t>存在大额担保但未计提预计负债（预计负债占担保总额≈0）触发关注；担保代偿后营业外支出异常增加</t>
  </si>
  <si>
    <t>存在已暴露但年报未披露的担保即触发高风险</t>
  </si>
  <si>
    <t>担保总额占净资产＞50% 触发关注；存在未经审议的担保即触发高风险</t>
  </si>
  <si>
    <t>年报附注（实际控制人持股及质押情况）、股权质押公告、实控人控制企业的工商及债务信息</t>
  </si>
  <si>
    <t>公司公告（重大诉讼公告、仲裁公告）、年报附注（重大诉讼仲裁）、裁判文书网、交易所监管函</t>
  </si>
  <si>
    <t>资产负债表（预计负债、其他应付款）、年报附注（预计负债明细、或有事项）、利润表（营业外支出）</t>
  </si>
  <si>
    <t>年报附注（或有事项、对外担保、关联交易）、诉讼公告、仲裁公告、交易所问询函及回复</t>
  </si>
  <si>
    <t xml:space="preserve">年报附注（对外担保明细、董事会决议公告、股东大会决议公告）、公司公告（担保公告）、交易所问询函
</t>
  </si>
  <si>
    <t>1.实控人股权质押比例 = 实控人已质押股份数 ÷ 实控人持股总数 × 100%
2.实控人及关联方有息负债规模（如可获取）</t>
  </si>
  <si>
    <t>涉诉担保金额占净资产比 = 因担保被起诉 / 仲裁涉及的金额 ÷ 归属于上市公司股东的净资产 × 100%</t>
  </si>
  <si>
    <t>1.预计负债占担保总额比 = 计提的预计负债 ÷ 对外担保总额 × 100%
2.担保覆盖率 = 已计提预计负债 ÷ 涉诉担保金额 × 100%</t>
  </si>
  <si>
    <t>1. 年报 "或有事项" 附注中对外担保明细缺失或金额明显偏低
2. 已通过诉讼、仲裁、代偿公告暴露的担保，年报中未对应披露
3. 担保对象为实控人、大股东及其关联方，但未列入关联交易披露
4. 交易所问询函追问担保情况，公司回复含糊或前后矛盾</t>
  </si>
  <si>
    <t>1.未审议担保占净资产比 = 未经董事会 / 股东大会审议的担保金额 ÷ 归属于上市公司股东的净资产 × 100%
2.担保总额占净资产比 = 对外担保总额 ÷ 归属于上市公司股东的净资产 × 100%</t>
  </si>
  <si>
    <t>实控人高负债 / 高质押（担保动机）</t>
  </si>
  <si>
    <t>诉讼仲裁公告暴露隐性担保</t>
  </si>
  <si>
    <t>或有负债 / 预计负债异常</t>
  </si>
  <si>
    <t>年报担保披露不完整 / 未披露</t>
  </si>
  <si>
    <t>担保未履行审议程序</t>
  </si>
  <si>
    <t>R014-S05</t>
  </si>
  <si>
    <t>R014-S04</t>
  </si>
  <si>
    <t>R014-S03</t>
  </si>
  <si>
    <t>R014-S02</t>
  </si>
  <si>
    <t>R014‑S01</t>
  </si>
  <si>
    <t>上市公司未经董事会、股东大会审议程序，擅自为实际控制人、大股东及其关联方债务提供担保、反担保，且不在年报对外担保附注中如实披露，形成表外隐性负债，一旦债务人违约，上市公司承担连带清偿责任，损害中小股东利益。</t>
  </si>
  <si>
    <t>违规担保</t>
  </si>
  <si>
    <t>R014</t>
  </si>
  <si>
    <t>期后事项、实际赔偿、赔偿支出、超预计赔偿、期后调整、以前年度损益调整、营业外支出</t>
  </si>
  <si>
    <t>预计负债变动、营业外支出、勾稽关系、计提冲回、实际支付、赔偿支出、损失确认</t>
  </si>
  <si>
    <t>表外负债、隐性担保、明股实债、抽屉协议、或有负债、未入账负债、隐性债务、担保余额</t>
  </si>
  <si>
    <t>预计负债、计提比例、计提不足、少计负债、或有负债、负债规模、同行业对比、会计估计</t>
  </si>
  <si>
    <t>债务违约、逾期借款、债券违约、违约义务、信用违约、交叉违约、债务重组、无法偿付</t>
  </si>
  <si>
    <t>预计负债、或有事项、重大诉讼、仲裁、未决诉讼、涉诉金额、诉讼赔偿、判决、败诉、连带责任</t>
  </si>
  <si>
    <t>实际赔偿超计提比率＞50% 触发关注；期后赔偿占比＞100%（即赔偿额超过计提数）触发高风险</t>
  </si>
  <si>
    <t>勾稽差额≠0 且无法解释触发关注；营业外支出异常增长率＞50% 触发关注</t>
  </si>
  <si>
    <t>存在表外负债 / 隐性担保即触发高风险；表外负债估算占比＞10% 属重大风险</t>
  </si>
  <si>
    <t>预计负债充足率＜50% 触发关注；预计负债占总负债比显著低于同行业触发关注</t>
  </si>
  <si>
    <t>存在债务违约但未确认预计负债即触发高风险；违约债务占总有息负债＞5% 触发关注</t>
  </si>
  <si>
    <t>发布重大诉讼公告但账面预计负债为 0 即触发高风险；预计负债占涉诉金额比＜30% 触发关注；涉诉金额占净资产＞10% 触发关注</t>
  </si>
  <si>
    <t>资产负债表日后事项公告、实际赔偿支付凭证、年报附注（期后事项、预计负债）、利润表（营业外支出）</t>
  </si>
  <si>
    <t>资产负债表（预计负债）、利润表（营业外支出）、年报附注（预计负债变动表、营业外支出明细）</t>
  </si>
  <si>
    <t>年报附注（或有事项、对外担保、关联交易）、资产负债表（其他权益工具、长期应付款）、工商穿透、抽屉协议、明股实债合同</t>
  </si>
  <si>
    <t>资产负债表（预计负债、总负债）、年报附注（预计负债明细、或有事项）、利润表（营业外支出）、同行业可比公司预计负债计提比例</t>
  </si>
  <si>
    <t>资产负债表（短期借款、长期借款、应付债券、一年内到期非流动负债）、年报附注（借款明细、违约情况）、债务违约公告、评级报告</t>
  </si>
  <si>
    <t>资产负债表（预计负债）、年报附注（预计负债、或有事项、重大诉讼仲裁）、重大诉讼公告、裁判文书网、交易所问询函</t>
  </si>
  <si>
    <t>1.实际赔偿超计提比率 =（实际赔偿金额 − 已计提预计负债）÷ 已计提预计负债 × 100%                                                                                            2.期后赔偿占比 = 资产负债表日后实际赔偿金额 ÷ 期末预计负债余额 × 100%</t>
  </si>
  <si>
    <t>1.勾稽差额 = 期初预计负债 + 本期计提 − 本期冲回 − 本期实际支付 − 期末预计负债                                                                                           2.营业外支出异常增长率 =（本期营业外支出 − 上期营业外支出）÷ 上期营业外支出 × 100%</t>
  </si>
  <si>
    <t>1.表外负债估算占比 = 穿透识别出的表外负债 ÷ 账面总负债 × 100%                                                                                                           2.明股实债、抽屉协议、隐性担保识别</t>
  </si>
  <si>
    <t>1.预计负债充足率 = 已计提预计负债 ÷ 按准则应计提预计负债 × 100%                                                                                                               2.预计负债占总负债比 = 预计负债 ÷ 总负债 × 100%</t>
  </si>
  <si>
    <t xml:space="preserve">1.违约债务占总有息负债比 = 已违约 / 逾期有息负债 ÷ 总有息负债 × 100%                                                                                                                  2.逾期未确认损失金额 = 已违约债务应确认损失 − 账面已确认损失                     </t>
  </si>
  <si>
    <t>1.预计负债占涉诉金额比 = 账面计提预计负债 ÷ 重大诉讼涉诉总金额 × 100%                                                                                                 2.涉诉金额占净资产比 = 重大诉讼涉诉总金额 ÷ 归属于上市公司股东净资产 × 100%</t>
  </si>
  <si>
    <t>后续实际赔偿 / 违约支出远超计提数</t>
  </si>
  <si>
    <t>预计负债与营业外支出勾稽异常</t>
  </si>
  <si>
    <t>表外负债 / 隐性担保不入账</t>
  </si>
  <si>
    <t>预计负债计提金额显著不足</t>
  </si>
  <si>
    <t>违约义务 / 债务逾期未确认预计负债</t>
  </si>
  <si>
    <t>重大诉讼 / 仲裁未计提预计负债</t>
  </si>
  <si>
    <t>R015-S06</t>
  </si>
  <si>
    <t>R015-S05</t>
  </si>
  <si>
    <t>R015-S04</t>
  </si>
  <si>
    <t>R015-S03</t>
  </si>
  <si>
    <t>R015-S02</t>
  </si>
  <si>
    <t>R015-S01</t>
  </si>
  <si>
    <t>上市公司对已经发生的诉讼赔偿、违约义务、担保代偿等现时义务，不按照《企业会计准则第 13 号 —— 或有事项》确认预计负债，或少计预计负债金额，隐瞒表内负债，低估负债规模，虚增当期利润。表现为重大诉讼已公告但报表无预计负债、债务已违约但不确认损失、表外隐性负债不入账等</t>
  </si>
  <si>
    <t>负债、会计估计、信息披露舞弊</t>
  </si>
  <si>
    <t>隐瞒负债、少记预计负债</t>
  </si>
  <si>
    <t>R015</t>
  </si>
  <si>
    <t>频繁变更、反复变更、会计估计、变更次数、折旧变更、坏账变更、减值测试参数、追溯调整</t>
  </si>
  <si>
    <t>同行业对比、综合折旧率、综合坏账率、存货跌价率、计提比例偏低、行业平均、可比公司、偏离度</t>
  </si>
  <si>
    <t>会计估计变更、变更理由、变更依据、披露不充分、未披露影响、问询函、会计政策、合理依据</t>
  </si>
  <si>
    <t>扭亏为盈、会计估计变更、利润影响、净利润、扣非净利润、盈余管理、利润调节、变更影响额</t>
  </si>
  <si>
    <t>坏账准备、计提比例、账龄分析、信用减值损失、坏账政策、预期信用损失、计提比例变更、应收账款</t>
  </si>
  <si>
    <t>折旧年限、折旧方法、固定资产折旧、残值率、折旧政策变更、延长折旧年限、会计估计变更、累计折旧</t>
  </si>
  <si>
    <t>近 3 年同一估计项目变更≥2 次触发关注；变更方向始终为增加利润触发高风险；年报被问询会计估计变更触发关注</t>
  </si>
  <si>
    <t>综合折旧率低于同行业＞30% 触发关注；综合坏账率低于同行业＞30% 触发关注；多项估计同时偏离同行业触发高风险</t>
  </si>
  <si>
    <t>未披露变更理由或影响金额即触发高风险；披露理由与实际经营明显不符触发高风险</t>
  </si>
  <si>
    <t>会计估计变更影响利润占比＞50% 触发关注；变更前亏损、变更后直接盈利即触发高风险；剔除估计变更影响后仍为亏损即高风险</t>
  </si>
  <si>
    <t>坏账计提比例下调＞20% 触发关注；变更后利润影响额占净利润＞10% 触发关注；综合坏账率显著下降触发关注</t>
  </si>
  <si>
    <t>折旧年限延长＞20% 触发关注；变更后利润影响额占净利润＞10% 触发关注；综合折旧率显著下降触发关注</t>
  </si>
  <si>
    <t>历年年报附注（会计政策与会计估计变更段）、会计估计变更公告、交易所问询函</t>
  </si>
  <si>
    <t>年报附注（折旧政策、坏账政策、存货跌价政策）、同行业可比公司年报、行业平均数据</t>
  </si>
  <si>
    <t>年报附注（会计估计变更披露段）、会计估计变更公告、交易所问询函及回复、董事会 / 股东大会决议</t>
  </si>
  <si>
    <t>利润表（净利润、扣非净利润）、年报附注（会计估计变更对利润影响说明）、会计估计变更公告</t>
  </si>
  <si>
    <t>资产负债表（应收账款、坏账准备）、年报附注（坏账准备政策、账龄分析、会计估计变更公告）、利润表（信用减值损失）</t>
  </si>
  <si>
    <t>资产负债表（固定资产、累计折旧）、年报附注（固定资产折旧政策、会计估计变更公告）、利润表（管理费用 / 制造费用中折旧）</t>
  </si>
  <si>
    <t>1.会计估计变更频率 = 报告期内会计估计变更次数   2.同一估计项目反复变更次数 = 近 3 年同一项目变更次数   4.【定性】变更方向是否始终指向增加利润</t>
  </si>
  <si>
    <t xml:space="preserve">1.综合折旧率偏离度 =（公司综合折旧率 − 同行业平均综合折旧率）÷ 同行业平均综合折旧率 × 100%    2.综合坏账率偏离度 =（公司综合坏账率 − 同行业平均综合坏账率）÷ 同行业平均综合坏账率 × 100%    </t>
  </si>
  <si>
    <t xml:space="preserve">1. 是否披露变更理由、变更日期、影响金额      2. 变更理由是否与实际经营情况一致    .3. 影响金额是否量化披露        </t>
  </si>
  <si>
    <t xml:space="preserve">1.会计估计变更影响利润占比 = 会计估计变更增加的净利润 ÷ 变更后净利润 × 100%            2.变更前后盈亏性质 = 变更前净利润（负）→ 变更后净利润（正）    3.扣非后净利润是否仍为正（剔除估计变更影响）           </t>
  </si>
  <si>
    <t xml:space="preserve">1.坏账计提比例变更幅度 =（新计提比例 − 旧计提比例）÷ 旧计提比例 × 100%             2.坏账政策变更对利润影响额 = 按旧比例应提坏账 − 按新比例实际计提坏账    3.综合坏账率 = 期末坏账准备 ÷ 期末应收账款余额 × 100%                  </t>
  </si>
  <si>
    <t>1.折旧年限变更幅度 =（新折旧年限 − 旧折旧年限）÷ 旧折旧年限 × 100%      2.折旧政策变更对利润影响额 = 按旧政策应计折旧额 − 按新政策实际折旧额    3.综合折旧率 = 本期折旧费用 ÷ 固定资产平均原值 × 100%</t>
  </si>
  <si>
    <t xml:space="preserve">定性 </t>
  </si>
  <si>
    <t>会计估计变更频繁 / 反复变更</t>
  </si>
  <si>
    <t>折旧 / 坏账计提比例显著偏离同行业</t>
  </si>
  <si>
    <t>会计估计变更缺乏合理依据 / 未充分披露</t>
  </si>
  <si>
    <t>会计估计变更后直接扭亏为盈</t>
  </si>
  <si>
    <t>坏账计提比例随意变更</t>
  </si>
  <si>
    <t>折旧年限 / 方法随意变更</t>
  </si>
  <si>
    <t>R016-S06</t>
  </si>
  <si>
    <t>R016-S05</t>
  </si>
  <si>
    <t>R016-S04</t>
  </si>
  <si>
    <t>R016-S03</t>
  </si>
  <si>
    <t>R016-S02</t>
  </si>
  <si>
    <t>R016-S01</t>
  </si>
  <si>
    <t>上市公司随意变更固定资产折旧年限 / 方法、坏账准备计提比例、存货跌价计提比例、商誉减值测试参数等会计估计，变更理由不基于业务实质，而是以调节利润为目的，通过少计折旧、少提坏账准备等方式虚增利润，甚至直接实现扭亏为盈。变更往往未充分披露理由和影响，或披露理由与实际经营情况不符。</t>
  </si>
  <si>
    <t>滥用会计估计</t>
  </si>
  <si>
    <t>R016</t>
  </si>
  <si>
    <t>员工人数 / 在职员工数量 / 员工总数 / 员工数量合计 / 在职员工的数量合计 / 母公司及主要子公司在职员工总数；劳务派遣 / 劳务外包 / 外包人员 / 人力资源外包 / 劳务派遣人员 / 外包用工；员工结构 / 员工构成 / 专业构成 / 教育程度 / 年龄分布 / 学历结构 / 岗位结构；人均产值 / 人均创收 / 人均营业收入 / 人均销售 / 人均产出；人均薪酬 / 人均工资 / 职工薪酬 / 人均职工薪酬 / 平均薪酬；支付给职工以及为职工支付的现金 / 支付给职工的现金 / 支付给职工以及为职工支付；应付职工薪酬 / 应付职工薪酬期末余额 / 应付职工薪酬期初余额 / 短期薪酬 / 离职后福利；工资 / 奖金 / 津贴 / 补贴 / 社保 / 住房公积金 / 福利费 / 工会经费 / 职工教育经费；员工人数变动 / 人员增减 / 裁员 / 扩招 / 人员优化 / 人员变动；自动化 / 智能制造 / 机器换人 / 人均效率 / 劳动生产率 / 生产效率；同行业人均薪酬 / 行业平均薪酬 / 可比公司人均薪酬 / 薪酬水平；核心技术人员 / 研发人员 / 销售人员 / 生产人员 / 技术人员数量；员工持股 / 股权激励 / 股份支付 / 薪酬政策 / 绩效考核</t>
  </si>
  <si>
    <t>第四季度 / Q4 / 四季度 / 年末 / 期末 / 年底 / 年末突击 / 年末冲量；第一季度 / Q1 / 一季度 / 次年一季度 / 期后；季度报告 / 一季报 / 半年报 / 三季报 / 年度报告 / 分季度财务指标；收入确认 / 收入确认政策 / 收入确认时点 / 收入确认方法 / 收入确认条件 / 收入确认原则；履约义务 / 履约进度 / 合同履约成本 / 合同资产 / 合同负债 / 合同结算；时段法 / 时点法 / 完工百分比法 / 投入法 / 产出法 / 履约进度确认方法；跨期确认 / 提前确认 / 延后确认 / 截止性测试 / 收入截止 / 收入跨期 / 跨期收入；期末突击确认 / 年末集中确认 / 年末大额确认 / 期末收入异常；期后退回 / 销售退回 / 期后销售退回 / 退货率 / 退换货；发货 / 出库 / 签收 / 验收 / 交付 / 到货 / 安装调试 / 控制权转移；季节性 / 旺季 / 淡季 / 季节性波动 / 季节性因素 / 行业季节性；新收入准则 / 收入准则变更 / 会计政策变更 / 收入准则衔接</t>
  </si>
  <si>
    <t>前五大客户 / 前五名客户 / 前五大客户销售额 / 前五大客户销售占比 / 前五名客户销售额；第一大客户 / 最大客户 / 主要客户 / 重要客户 / 核心客户；客户集中度 / 客户依赖 / 重大客户依赖 / 客户集中风险；新增客户 / 新增大客户 / 新开发客户 / 新增重要客户 / 新增前五大客户；关联方 / 关联交易 / 关联销售 / 关联方销售 / 向关联方销售商品 / 关联方交易；日常关联交易 / 偶发性关联交易 / 日常经营相关的关联交易；关联方资金占用 / 关联往来 / 关联方应收应付款项；前五大供应商 / 前五名供应商 / 前五大供应商采购额 / 供应商集中度 / 主要供应商；客户与供应商重叠 / 同一客户供应商 / 既是客户又是供应商 / 循环贸易 / 循环交易 / 资金循环；无商业实质 / 贸易性收入 / 转口贸易 / 供应链贸易 / 大宗商品贸易 / 贸易业务；客户背景 / 客户成立时间 / 客户注册资本 / 客户工商信息 / 穿透核查；销售合同 / 订单 / 框架协议 / 长期合同 / 重大合同</t>
  </si>
  <si>
    <t>净利润 / 经营活动产生的现金流量净额 / 经营现金流净额；应计利润 / 应计项 / 权责发生制 / 收付实现制；流动资产 / 流动负债 / 营运资本 / 营运资金 / 营运资本增加；资产总计 / 总资产 / 平均总资产 / 资产总额；非经常性损益 / 非经常性损益项目 / 非经常性损益明细；资产减值损失 / 信用减值损失 / 减值准备 / 减值计提；公允价值变动收益 / 投资收益 / 资产处置收益 / 其他收益；固定资产折旧 / 累计折旧 / 无形资产摊销 / 长期待摊费用摊销 / 使用权资产折旧；经营性应收项目 / 经营性应付项目 / 经营性应收项目的减少 / 经营性应付项目的增加；递延所得税资产 / 递延所得税负债 / 递延所得税；将净利润调节为经营活动现金流量 / 现金流量表补充资料 / 间接法</t>
  </si>
  <si>
    <t>存货 / 存货余额 / 存货账面价值 / 存货账面余额 / 存货净额；存货跌价准备 / 存货跌价损失 / 资产减值损失 / 存货减值；存货周转率 / 存货周转天数 / 库存周转 / 库存周转天数；原材料 / 在产品 / 库存商品 / 发出商品 / 委托加工物资 / 周转材料 / 低值易耗品；存货结构 / 存货构成 / 存货分类；存货增长 / 库存增加 / 备货 / 加大备货 / 原材料储备；营业成本 / 主营业务成本 / 营业成本同比；库龄 / 库龄分析 / 滞销 / 积压 / 滞销库存 / 库存积压；存货盘点 / 实物流转 / 盘点差异 / 账实不符；产销率 / 产能利用率 / 产量 / 销量 / 库存量；期末存货 / 年末存货 / 存货大幅增加</t>
  </si>
  <si>
    <t>营业收入 / 主营业务收入 / 营业总收入 / 营收；营业收入增长率 / 营收增速 / 收入增长 / 同比增长 / 同比增幅 / 同比变动；主营业务增长率 / 收入增速 / 营收同比；行业增长 / 行业平均增长率 / 市场规模 / 行业增速 / 市场份额；收入结构 / 产品结构 / 地区结构 / 客户结构 / 收入构成；新增业务 / 新产品 / 新市场 / 新领域 / 业务拓展；业绩增长 / 业绩驱动 / 增长驱动因素 / 增长原因 / 增长可持续性；三年复合增长率 / CAGR / 复合增长率；净利润增长率 / 利润增速 / 归母净利润增速；营收与利润背离 / 增收不增利 / 利润增速低于营收增速；季度营收 / 单季收入 / 分季度财务数据</t>
  </si>
  <si>
    <t>毛利率 / 销售毛利率 / 综合毛利率 / 主营业务毛利率 / 分产品毛利率 / 分行业毛利率 / 分地区毛利率；营业成本 / 主营业务成本 / 其他业务成本 / 营业总成本；营业收入 / 主营业务收入；毛利率变动 / 毛利率波动 / 毛利率提升 / 毛利率下降 / 毛利率同比；成本构成 / 成本结构 / 原材料成本 / 直接人工 / 制造费用；产品结构 / 产品升级 / 高毛利产品 / 低毛利产品 / 产品结构优化；同行业对比 / 行业平均毛利率 / 可比公司毛利率 / 行业均值；核心竞争力 / 技术壁垒 / 品牌溢价 / 定价权 / 规模效应；单位成本 / 单位售价 / 量价分析；存货跌价 / 成本结转 / 发出商品</t>
  </si>
  <si>
    <t>应收账款 / 应收账款及应收票据 / 应收票据 / 应收款项融资 / 应收账款融资；应收账款余额 / 应收账款账面价值 / 应收账款账面余额 / 应收账款净额；坏账准备 / 应收账款坏账准备 / 信用减值损失 / 坏账损失；应收账款周转率 / 应收账款周转天数 / 应收账款回收期 / 平均收现期；账龄 / 账龄分析 / 账龄组合 / 逾期应收账款 / 逾期未收回；前五大应收账款 / 应收账款前五名 / 应收账款欠款方；信用政策 / 赊销政策 / 结算方式 / 信用期；应收账款占比 / 应收账款增长 / 应收账款大幅增加 / 应收账款异常；应收股利 / 应收利息 / 其他应收款 / 长期应收款；保理 / 应收账款保理 / 应收账款质押 / 应收账款证券化</t>
  </si>
  <si>
    <t>营业收入 / 主营业务收入 / 其他业务收入 / 营业总收入 / 营收；经营活动产生的现金流量净额 / 经营活动现金流净额 / 经营现金流净额 / 经营活动产生的现金流量；销售商品、提供劳务收到的现金 / 销售商品提供劳务收到的现金 / 销售商品收到的现金；经营活动现金流入小计 / 经营活动现金流入；净利润 / 归属于母公司所有者的净利润 / 归母净利润 / 扣除非经常性损益后的净利润；现金流量表 / 现金及现金等价物净增加额；销售回款 / 现金回款 / 回款情况 / 回款率；收现比 / 净现比 / 利润含金量 / 现金流与净利润背离 / 经营现金流为负 / 增收不增现</t>
  </si>
  <si>
    <t>存货周转率同比变动：高风险：同比下降 &gt; 20%</t>
  </si>
  <si>
    <t>DSRI：高风险：&gt;1.5，关注：1.2~1.5，正常：&lt;1.2</t>
  </si>
  <si>
    <t>员工人数同比增长率：联合判断：人均产值同比增长 &gt; 30% 但员工人数增长 &lt; 5% 为高风险，人均产值增长 20%~30% 且员工增长 &lt; 5% 为关注</t>
  </si>
  <si>
    <t>Q4 收入占比偏离度：高风险：&gt;10 个百分点，关注：5~10 个百分点</t>
  </si>
  <si>
    <t>客户供应商重叠数：高风险：≥1</t>
  </si>
  <si>
    <t>应计利润占比：高风险：&gt;50%，关注：30%~50%</t>
  </si>
  <si>
    <t>存货营收比：关注：连续 2 年上升且高于行业均值</t>
  </si>
  <si>
    <t>营收净利增速差：关注：&gt;20 个百分点（营收远高于利润增长）</t>
  </si>
  <si>
    <t>Q4 毛利率环比变动：高风险：突增 &gt; 5 个百分点（期末突击确认高毛利收入嫌疑）</t>
  </si>
  <si>
    <t>应收账款周转天数：高风险：同比增加 &gt; 30 天且高于行业均值</t>
  </si>
  <si>
    <t>人均产值同比增长率：中间变量，与员工人数增长率联合判断</t>
  </si>
  <si>
    <t>历史 Q4 收入占比均值：中间变量，不单独判断</t>
  </si>
  <si>
    <t>关联方销售占比：高风险：&gt;20% 且交易定价不公允，关注：10%~20%</t>
  </si>
  <si>
    <t>营运资本应计率：高风险：连续 2 年 &gt; 8%，关注：5%~8%</t>
  </si>
  <si>
    <t>存货增速差：高风险：&gt;20 个百分点，关注：10~20 个百分点</t>
  </si>
  <si>
    <t>净利润同比增长率：中间变量，不单独判断</t>
  </si>
  <si>
    <t>单季销售毛利率：中间变量，不单独判断</t>
  </si>
  <si>
    <t>应收账款周转率：高风险：同比下降 &gt; 20% 且低于行业均值，关注：下降 10%~20%</t>
  </si>
  <si>
    <t>背离指数：高风险：&gt;2，关注：1.5~2</t>
  </si>
  <si>
    <t>次年 Q1 收入回落率：高风险：回落 &gt; 30%，关注：15%~30%</t>
  </si>
  <si>
    <t>新增客户销售额占比：高风险：&gt;20%，关注：10%~20%</t>
  </si>
  <si>
    <t>营运资本增加额：中间变量，不单独判断</t>
  </si>
  <si>
    <t>营业成本同比增长率：中间变量，不单独判断</t>
  </si>
  <si>
    <t>营业收入三年 CAGR：关注：&gt;30% 且最近一年增速突然加速</t>
  </si>
  <si>
    <t>GMI：关注：&gt;1.2（毛利率恶化有操纵动机），正常：&lt;1.2</t>
  </si>
  <si>
    <t>平均应收账款余额：中间变量，不单独判断</t>
  </si>
  <si>
    <t>人均薪酬行业倍数：中间变量，不单独判断</t>
  </si>
  <si>
    <t>Q4 收入环比增速：高风险：&gt;50% 且无合理季节性解释，关注：30%~50%</t>
  </si>
  <si>
    <t>新增客户销售额：中间变量，不单独判断</t>
  </si>
  <si>
    <t>上期营运资本：中间变量，不单独判断</t>
  </si>
  <si>
    <t>存货同比增长率：中间变量，不单独判断</t>
  </si>
  <si>
    <t>SGI：高风险：&gt;1.6，关注：1.3~1.6，正常：&lt;1.3</t>
  </si>
  <si>
    <t>毛利率行业偏离度：高风险：&gt;10 个百分点且无合理解释，关注：5~10 个百分点</t>
  </si>
  <si>
    <t>应收账款营收比：高风险：&gt;30% 且连续 2 年上升，关注：20%~30%，正常：&lt;20%（需结合行业）</t>
  </si>
  <si>
    <t>人均产值行业倍数：中间变量，不单独判断</t>
  </si>
  <si>
    <t>Q3 营业收入：中间变量，不单独判断</t>
  </si>
  <si>
    <t>CR1：高风险：&gt;30% 且该客户为当年新增主体，关注：&gt;30% 但为长期稳定客户</t>
  </si>
  <si>
    <t>本期营运资本：中间变量，不单独判断</t>
  </si>
  <si>
    <t>存货周转天数：高风险：连续 2 年上升且累计增加 &gt; 30 天</t>
  </si>
  <si>
    <t>营收增长行业偏离：高风险：公司增速 &gt; 行业均值 2 倍且收入结构未变，关注：1.5~2 倍</t>
  </si>
  <si>
    <t>毛利率同比变动：高风险：同比上升 &gt; 5 个百分点且无合理商业解释</t>
  </si>
  <si>
    <t>应收账款增速差：高风险：&gt;30 个百分点，关注：10~30 个百分点，正常：&lt;10 个百分点</t>
  </si>
  <si>
    <t>营收现金含量：高风险：连续 2 年 &lt; 0.8，关注：0.8~1，良好：&gt;1</t>
  </si>
  <si>
    <t>人均薪酬：中间变量，不单独判断</t>
  </si>
  <si>
    <t>Q4 收入占比：高风险：&gt;40%，关注：30%~40%，正常：约 25%</t>
  </si>
  <si>
    <t>CR5：关注：&gt;70% 且客户集中度持续上升</t>
  </si>
  <si>
    <t>TATA：高风险：连续 2 年 &gt; 10%，关注：&gt;5% 且连续上升，正常：&lt;5%</t>
  </si>
  <si>
    <t>存货周转率：高风险：连续 2 年下降且累计降幅 &gt; 20%，关注：单年下降 10%~20%</t>
  </si>
  <si>
    <t>行业平均营业收入增长率：中间变量（外部数据），不单独判断</t>
  </si>
  <si>
    <t>上期销售毛利率：中间变量，不单独判断</t>
  </si>
  <si>
    <t>营业收入同比增长率：中间变量，不单独判断</t>
  </si>
  <si>
    <t>收现比：高风险：&lt;1 且连续 2 年下降，关注：&lt;1 但稳定，正常：≥1</t>
  </si>
  <si>
    <t>人均产值：中间变量，不单独判断</t>
  </si>
  <si>
    <t>Q4 营业收入：中间变量，不单独判断</t>
  </si>
  <si>
    <t>前五大客户销售额合计：中间变量，不单独判断</t>
  </si>
  <si>
    <t>平均总资产：中间变量，不单独判断</t>
  </si>
  <si>
    <t>平均存货余额：中间变量，不单独判断</t>
  </si>
  <si>
    <t>本期销售毛利率：中间变量，需结合行业对标判断</t>
  </si>
  <si>
    <t>应收账款同比增长率：中间变量，不单独判断，参考 &gt; 50% 需警惕</t>
  </si>
  <si>
    <t>净现比：高风险：连续 2 年 &lt;0.5 或任意一年为负，关注：0.5~1，良好：&gt;1</t>
  </si>
  <si>
    <t>利润表 + 现金流量表 + 年报（员工情况章节）+ 行业可比数据</t>
  </si>
  <si>
    <t>年度报告 + 季度报告（一季报、半年报、三季报）</t>
  </si>
  <si>
    <t>年报附注（前五大客户、前五大供应商、关联交易）+ 利润表 + 工商信息（企查查 / 天眼查）</t>
  </si>
  <si>
    <t>资产负债表 + 利润表 + 现金流量表</t>
  </si>
  <si>
    <t>资产负债表 + 利润表</t>
  </si>
  <si>
    <t>利润表 + 行业可比数据</t>
  </si>
  <si>
    <t>利润表 + 行业可比数据（Wind / 同花顺 / 行业协会）</t>
  </si>
  <si>
    <t>利润表 +现金流量表</t>
  </si>
  <si>
    <t>存货周转率同比变动 = 本期存货周转率 - 上期存货周转率</t>
  </si>
  <si>
    <t>DSRI = (期末应收账款余额 t / 营业收入 t) / (期末应收账款余额 t-1 / 营业收入 t-1)</t>
  </si>
  <si>
    <t>员工人数同比增长率 = (本期期末员工人数 - 上期期末员工人数) / 上期期末员工人数 × 100%</t>
  </si>
  <si>
    <t>Q4 收入占比偏离度 = 当年 Q4 收入占比 - 历史 Q4 收入占比均值</t>
  </si>
  <si>
    <t>客户供应商重叠数 = 同时出现在本年度前五大客户名单和前五大供应商名单中的主体数量</t>
  </si>
  <si>
    <t>应计利润占比 = (净利润 - 经营活动产生的现金流量净额) / 净利润 × 100%</t>
  </si>
  <si>
    <t>存货营收比 = 期末存货余额 / 营业收入 × 100%</t>
  </si>
  <si>
    <t>营收净利增速差 = 营业收入同比增长率 - 净利润同比增长率</t>
  </si>
  <si>
    <t>Q4 毛利率环比变动 = Q4 销售毛利率 - Q3 销售毛利率</t>
  </si>
  <si>
    <t>应收账款周转天数 = 365 / 应收账款周转率</t>
  </si>
  <si>
    <t>人均产值同比增长率 = (本期人均产值 - 上期人均产值) / 上期人均产值 × 100%</t>
  </si>
  <si>
    <t>历史 Q4 收入占比均值 = (前年 Q4 收入占比 + 大前年 Q4 收入占比 + 大大前年 Q4 收入占比) / 3</t>
  </si>
  <si>
    <t>关联方销售占比 = 关联方销售商品 / 提供劳务金额 / 营业收入 × 100%</t>
  </si>
  <si>
    <t>营运资本应计率 = 营运资本增加额 / 平均总资产 × 100%</t>
  </si>
  <si>
    <t>存货增速差 = 存货同比增长率 - 营业成本同比增长率</t>
  </si>
  <si>
    <t>净利润同比增长率 = (本期净利润 - 上期净利润) / 上期净利润 × 100%</t>
  </si>
  <si>
    <t>单季销售毛利率 = (单季营业收入 - 单季营业成本) / 单季营业收入 × 100%</t>
  </si>
  <si>
    <t>应收账款周转率 = 营业收入 / 平均应收账款余额</t>
  </si>
  <si>
    <t>背离指数 = 人均产值行业倍数 / 人均薪酬行业倍数</t>
  </si>
  <si>
    <t>次年 Q1 收入回落率 = (次年 Q1 营业收入 - 当年 Q4 营业收入) / 当年 Q4 营业收入 × 100%</t>
  </si>
  <si>
    <t>新增客户销售额占比 = 新增客户销售额 / 营业收入 × 100%</t>
  </si>
  <si>
    <t>营运资本增加额 = 本期营运资本 - 上期营运资本</t>
  </si>
  <si>
    <t>营业成本同比增长率 = (本期营业成本 - 上期营业成本) / 上期营业成本 × 100%</t>
  </si>
  <si>
    <t>营业收入三年 CAGR = (本期营业收入 / 三年前营业收入)^(1/3) - 1</t>
  </si>
  <si>
    <t>GMI = 上期销售毛利率 / 本期销售毛利率</t>
  </si>
  <si>
    <t>平均应收账款余额 = (期初应收账款余额 + 期末应收账款余额) / 2</t>
  </si>
  <si>
    <t>人均薪酬行业倍数 = 公司人均薪酬 / 行业人均薪酬</t>
  </si>
  <si>
    <t>Q4 收入环比增速 = (Q4 营业收入 - Q3 营业收入) / Q3 营业收入 × 100%</t>
  </si>
  <si>
    <t>新增客户销售额 = 本年度前五大客户中、上一年度前五大客户名单未出现的客户的销售额合计</t>
  </si>
  <si>
    <t>上期营运资本 = 上期流动资产合计 - 上期流动负债合计</t>
  </si>
  <si>
    <t>存货同比增长率 = (期末存货余额 - 上年期末存货余额) / 上年期末存货余额 × 100%</t>
  </si>
  <si>
    <t>SGI = 本期营业收入 / 上期营业收入</t>
  </si>
  <si>
    <t>毛利率行业偏离度 = 公司本期销售毛利率 - 行业平均销售毛利率</t>
  </si>
  <si>
    <t>应收账款营收比 = 期末应收账款余额 / 营业收入 × 100%</t>
  </si>
  <si>
    <t>人均产值行业倍数 = 公司人均产值 / 行业人均产值</t>
  </si>
  <si>
    <t>Q3 营业收入 = 本年度前三季度营业收入 - 本年度上半年营业收入</t>
  </si>
  <si>
    <t>CR1 = 第一大客户销售额 / 营业收入 × 100%</t>
  </si>
  <si>
    <t>本期营运资本 = 本期流动资产合计 - 本期流动负债合计</t>
  </si>
  <si>
    <t>存货周转天数 = 365 / 存货周转率</t>
  </si>
  <si>
    <t>营收增长行业偏离 = 公司营业收入同比增长率 - 行业平均营业收入增长率</t>
  </si>
  <si>
    <t>毛利率同比变动 = 本期销售毛利率 - 上期销售毛利率</t>
  </si>
  <si>
    <t>应收账款增速差 = 应收账款同比增长率 - 营业收入同比增长率</t>
  </si>
  <si>
    <t>3. 营收现金含量 = 经营活动现金流入小计 / 营业收入</t>
  </si>
  <si>
    <t>人均薪酬 = 支付给职工以及为职工支付的现金 / 期末员工人数</t>
  </si>
  <si>
    <t>Q4 收入占比 = Q4 营业收入 / 本年度营业收入 × 100%</t>
  </si>
  <si>
    <t>CR5 = 前五大客户销售额合计 / 营业收入 × 100%</t>
  </si>
  <si>
    <t>TATA = (净利润 - 经营活动产生的现金流量净额) / 平均总资产 × 100%</t>
  </si>
  <si>
    <t>存货周转率 = 营业成本 / 平均存货余额</t>
  </si>
  <si>
    <t>行业平均营业收入增长率 = 同行业可比公司营业收入同比增长率的中位数</t>
  </si>
  <si>
    <t>上期销售毛利率 = (上期营业收入 - 上期营业成本) / 上期营业收入 × 100%</t>
  </si>
  <si>
    <t>营业收入同比增长率 = (本期营业收入 - 上期营业收入) / 上期营业收入 × 100%</t>
  </si>
  <si>
    <t>2. 收现比 = 销售商品、提供劳务收到的现金 / 营业收入</t>
  </si>
  <si>
    <t>人均产值 = 营业收入 / 期末员工人数</t>
  </si>
  <si>
    <t>Q4 营业收入 = 本年度营业收入 - 本年度前三季度营业收入</t>
  </si>
  <si>
    <t>前五大客户销售额合计 = 第一大客户销售额 + 第二大客户销售额 + 第三大客户销售额 + 第四大客户销售额 + 第五大客户销售额</t>
  </si>
  <si>
    <t>平均总资产 = (期初资产总计 + 期末资产总计) / 2</t>
  </si>
  <si>
    <t>平均存货余额 = (期初存货余额 + 期末存货余额) / 2</t>
  </si>
  <si>
    <t>本期销售毛利率 = (本期营业收入 - 本期营业成本) / 本期营业收入 × 100%</t>
  </si>
  <si>
    <t>应收账款同比增长率 = (期末应收账款余额 - 上年期末应收账款余额) / 上年期末应收账款余额 × 100%</t>
  </si>
  <si>
    <t>1. 净现比 = 经营活动产生的现金流量净额 / 净利润</t>
  </si>
  <si>
    <t>定量+定性</t>
  </si>
  <si>
    <t>人均产值与薪酬背离</t>
  </si>
  <si>
    <t>期末收入确认异常</t>
  </si>
  <si>
    <t>客户与交易结构异常</t>
  </si>
  <si>
    <t>应计利润异常</t>
  </si>
  <si>
    <t>存货与营收背离</t>
  </si>
  <si>
    <t>收入增长异常</t>
  </si>
  <si>
    <t>毛利率异常偏高</t>
  </si>
  <si>
    <t>应收账款异常膨胀</t>
  </si>
  <si>
    <t>收入现金流背离</t>
  </si>
  <si>
    <t>R001-S09</t>
  </si>
  <si>
    <t>R001-S08</t>
  </si>
  <si>
    <t>R001-S07</t>
  </si>
  <si>
    <t>R001-S06</t>
  </si>
  <si>
    <t>R001-S05</t>
  </si>
  <si>
    <t>R001-S04</t>
  </si>
  <si>
    <t>R001-S03</t>
  </si>
  <si>
    <t>R001-S02</t>
  </si>
  <si>
    <t>R001-S01</t>
  </si>
  <si>
    <t>虚构营业收入，是指企业在无真实商品交付或服务提供的情况下，通过虚构客户与供应商、伪造销售合同及出库 / 发运 / 验收单据、虚开发票等手段确认销售收入，并常以体外资金循环伪造回款或将虚增收入虚挂应收账款，从而虚增营业收入和利润的交易造假类收入舞弊行为。</t>
  </si>
  <si>
    <t>虚构营业收入</t>
  </si>
  <si>
    <t>R001</t>
  </si>
  <si>
    <t>应收账款账龄、账龄分析、账龄结构、1 年以内、1-2 年、2-3 年、3 年以上、3-4 年、4-5 年、5 年以上、坏账准备、坏账准备计提、坏账准备计提比例、坏账准备计提率、信用减值损失、资产减值损失、应收账款回收、回款、收款、收账、应收账款保理、保理、应收账款贴现、贴现、应收账款证券化、ABS、资产证券化、附追索权保理、无追索权保理、应收账款转移、金融资产转移、终止确认、应收账款周转率、应收账款周转天数、DSO、逾期应收账款、逾期款项、逾期、单项计提坏账准备、组合计提坏账准备、应收账款余额前五名、欠款方前五名、坏账准备转回、坏账准备核销、应收账款账龄组合、预期信用损失、信用风险、应收账款保理融资、应收账款质押</t>
  </si>
  <si>
    <t>毛利率、销售毛利率、综合毛利率、主营业务毛利率、分季度毛利率、季度毛利率、Q1 毛利率、Q2 毛利率、Q3 毛利率、Q4 毛利率、营业成本、主营业务成本、营业总成本、分季度营业成本、季度营业成本、毛利、毛利额、主营业务毛利、毛利率波动、毛利率变动、毛利率变化、下半年毛利率、上半年毛利率、H1 毛利率、H2 毛利率、产品毛利率、分产品毛利率、分行业毛利率、分地区毛利率、毛利率同比、毛利率环比、第四季度毛利率、年末毛利率、成本结转、成本确认、成本分摊、分季度财务指标、季度毛利、毛利率偏离、毛利率异常、毛利率提升、毛利率下降</t>
  </si>
  <si>
    <t>收入确认政策、收入确认会计政策、收入确认方法、会计政策变更、重要会计政策变更、会计估计变更、收入确认时点、收入确认条件、控制权转移、发货确认、发出商品确认、出库确认、验收确认、客户验收、签收确认、到货确认、收款确认、收到款项确认、完工百分比法、完工进度、履约进度、投入法、产出法、时段法、时段确认、一段时间内确认、时点法、时点确认、某一时点确认、总额法、净额法、主要责任人、代理人、新收入准则、CAS14、企业会计准则第 14 号 —— 收入、收入确认政策变更、收入政策调整、风险报酬转移、主要风险和报酬、收入确认原则、收入确认具体原则、商品销售收入、提供劳务收入、让渡资产使用权收入</t>
  </si>
  <si>
    <t>销售退回、退货、退回、退换货、销售折让、折扣、返利、资产负债表日后事项、期后事项、日后事项、期后退回、期后销售退回、资产负债表日后退回、会计差错更正、前期差错更正、追溯重述、追溯调整、营业收入调整、营收冲减、收入冲销、销售退回率、退货率、退换货率、冲回、冲减、冲销、调减、期后回款、期后收款、商品发出后期后退回、货运代理人退回、销售合同撤销、合同解除、合同变更、期后大额退回、年末销售次年退回、营业收入追溯调减、差错更正涉及收入</t>
  </si>
  <si>
    <t>经营活动产生的现金流量净额、经营现金流、经营性现金流、经营活动现金流量净额、销售商品提供劳务收到的现金、销售收现、现金流量表、经营活动现金流量、净利润、归母净利润、归属于母公司股东的净利润、归属于上市公司股东的净利润、净现比、盈利现金比率、现金含量、收现比、销售收现率、收入现金含量、经营活动现金流入、经营活动现金流出、收到的税费返还、收到其他与经营活动有关的现金、购买商品接受劳务支付的现金、支付给职工以及为职工支付的现金、现金流恶化、经营现金流为负、经营性现金流量净额、现金及现金等价物、经营活动产生的现金流量、销售收现比、收现比率</t>
  </si>
  <si>
    <t>合同负债、合同负债余额、合同负债期末余额、合同负债期初余额、合同负债账面价值、预收账款、预收款项、预收款、预收账款余额、递延收入、递延收益、预收款、定金、订金、保证金、预收账款转收入、预收账款结转、合同负债减少、合同负债变动、预收款确认收入、预收款结转收入、新收入准则、收入准则、CAS14、企业会计准则第 14 号、履约义务、履约进度、时段法、时点法、预收款比例、预收款占比、合同负债占比、合同负债同比、预收账款同比、预收账款减少、合同负债结转、预收款释放、预收款消化</t>
  </si>
  <si>
    <t>存货、存货余额、存货账面余额、存货账面价值、存货期末余额、存货期初余额、发出商品、在途物资、库存商品、原材料、委托加工物资、开发成本、开发产品、存货周转率、存货周转天数、存货跌价准备、存货减值、营业成本、主营业务成本、发货、出库、出库单、发货单、物流、运输、货运、承运人、货代、验收、签收、到货、入库、存货盘点、盘存、永续盘存制、合同履约成本、合同资产、控制权转移、风险报酬转移、平均存货余额、存货占比、存货变动、发出商品占比、商品已发出未验收、在途商品</t>
  </si>
  <si>
    <t>应收账款、应收账款余额、应收账款账面余额、应收账款账面价值、应收账款期末余额、应收账款期初余额、坏账准备、坏账准备计提、信用减值损失、应收账款周转率、应收账款周转天数、DSO、应收账款同比、应收账款增长、应收增速、营业收入同比、营收增长、营收增速、赊销、信用政策、信用期、账期、应收款项、应收票据、其他应收款、应收账款账龄、账龄分析、收入质量、盈利质量、应计利润、应收账款占比、应收营收比、应收账款变动、DSRI、Days Sales in Receivables、平均应收账款余额、应收账款回收、回款周期</t>
  </si>
  <si>
    <t>分季度营业收入、季度营业收入、第一季度营业收入、第二季度营业收入、第三季度营业收入、第四季度营业收入、分季度主要财务指标、营业收入、营业总收入、主营业务收入、其他业务收入、年末、季末、期末、资产负债表日、12 月、十二月、第四季度、季节性波动、周期性、收入确认时点、截止性测试、截止测试、期后事项、突击确认、集中确认、年末冲业绩、收入波动、营收波动、季度波动、下半年收入、上半年收入、半年度报告、季度报告、四季度占比、Q4 占比、期末激增、年末大单、年末集中发货</t>
  </si>
  <si>
    <t>Q4 毛利率同比变动：高风险：绝对值 &gt; 8 个百分点，关注：5~8 个百分点，正常：&lt;5 个百分点</t>
  </si>
  <si>
    <t>下半年 - 上半年毛利率差值：高风险：绝对值 &gt; 5 个百分点，关注：3~5 个百分点，正常：&lt;3 个百分点</t>
  </si>
  <si>
    <t>下半年毛利率：中间变量，不单独判断</t>
  </si>
  <si>
    <t>上半年毛利率：中间变量，不单独判断</t>
  </si>
  <si>
    <t>存货周转天数变动：高风险：同比增加 &gt; 30 天，关注：增加 15~30 天，正常：&lt;15 天</t>
  </si>
  <si>
    <t>DSO 变动：高风险：同比增加 &gt; 20 天或增幅 &gt; 20%，关注：增加 10~20 天，正常：&lt;10 天</t>
  </si>
  <si>
    <t>应收账款保理比例：高风险：&gt;25% 或附追索权保理，关注：15%~25%，正常：&lt;15%</t>
  </si>
  <si>
    <t>毛利率季度波动率：高风险：标准差 &gt; 5 个百分点，关注：3~5 个百分点，正常：&lt;3 个百分点</t>
  </si>
  <si>
    <t>存货周转天数：高风险：同比增加 &gt; 30 天，关注：增加 15~30 天，正常：&lt;15 天</t>
  </si>
  <si>
    <t>应收账款周转天数：高风险：同比增加 &gt; 30 天且高于行业均值，关注：增加 10~30 天，正常：&lt;10 天</t>
  </si>
  <si>
    <t>坏账准备计提率变动：高风险：在账龄恶化背景下同比下降 &gt; 3 个百分点，关注：下降 2~3 个百分点，正常：&lt;2 个百分点</t>
  </si>
  <si>
    <t>年均毛利率：中间变量，不单独判断</t>
  </si>
  <si>
    <t>存货周转率：高风险：同比下降 &gt; 20% 且低于行业均值，关注：下降 10%~20%，正常：≥行业均值</t>
  </si>
  <si>
    <t>应收账款周转率：高风险：同比下降 &gt; 20% 且低于行业均值，关注：下降 10%~20%，正常：≥行业均值</t>
  </si>
  <si>
    <t>坏账准备计提率：中间变量，不单独判断</t>
  </si>
  <si>
    <t>Q4 毛利率偏离度：高风险：偏离前三季均值 &gt; 5 个百分点（无论偏高或偏低），关注：3~5 个百分点，正常：&lt;3 个百分点</t>
  </si>
  <si>
    <t>递延收入合计变动率：高风险：同比下降 &gt; 25% 且同期营收正增长，关注：下降 15%~25%，正常：&lt;15%</t>
  </si>
  <si>
    <t>DSO 应收账款周转天数：高风险：&gt;120 天或同比增幅 &gt; 20%，关注：90~120 天，正常：&lt;90 天</t>
  </si>
  <si>
    <t>前三季度平均毛利率：中间变量，不单独判断</t>
  </si>
  <si>
    <t>总额法收入占比：高风险：近 3 年从净额法改为总额法，或贸易类业务 &gt; 70%，关注：50%~70%，正常：&lt;50%</t>
  </si>
  <si>
    <t>营业收入冲销额占比：高风险：&gt;3% 或存在营业收入追溯调减，关注：1%~3%，正常：&lt;1%</t>
  </si>
  <si>
    <t>递延收入合计：中间变量，不单独判断</t>
  </si>
  <si>
    <t>发出商品增速：高风险：&gt;50% 且显著高于营收增速，关注：30%~50%，正常：&lt;30%</t>
  </si>
  <si>
    <t>应收账款营收比变动：高风险：同比上升 &gt; 5 个百分点，关注：3~5 个百分点，正常：&lt;3 个百分点</t>
  </si>
  <si>
    <t>12 月收入集中度：高风险：&gt;50%，关注：40%~50%，正常：&lt;40%（均匀分布约 33%）</t>
  </si>
  <si>
    <t>Q4 毛利率：中间变量，不单独判断</t>
  </si>
  <si>
    <t>收入确认时点激进度评分：高风险：&gt;2.0，关注：1.5~2.0，正常：&lt;1.5</t>
  </si>
  <si>
    <t>销售退回率变动：高风险：同比上升 &gt; 5 个百分点，关注：上升 2~5 个百分点，正常：&lt;2 个百分点</t>
  </si>
  <si>
    <t>销售收现比变动：高风险：同比下降 &gt; 10 个百分点，关注：下降 5~10 个百分点，正常：&lt;5 个百分点</t>
  </si>
  <si>
    <t>预收账款变动率：高风险：同比下降 &gt; 30% 且同期营收增长，关注：下降 20%~30%，正常：&lt;20%</t>
  </si>
  <si>
    <t>发出商品占存货比：高风险：&gt;30% 或同比上升 &gt; 10 个百分点，关注：20%~30%，正常：&lt;20%</t>
  </si>
  <si>
    <t>下半年收入占比：高风险：&gt;60%，关注：55%~60%，正常：&lt;55%</t>
  </si>
  <si>
    <t>1 年以上占比变动：高风险：同比上升 &gt; 5 个百分点，关注：上升 3~5 个百分点，正常：&lt;3 个百分点</t>
  </si>
  <si>
    <t>Q3 毛利率：中间变量，不单独判断</t>
  </si>
  <si>
    <t>发货确认收入占比：高风险：&gt;20%，关注：10%~20%，正常：&lt;10%</t>
  </si>
  <si>
    <t>上期销售退回率：中间变量，不单独判断</t>
  </si>
  <si>
    <t>经营现金流营收比：高风险：连续 2 年 &lt; 0 或为负，关注：0~5%，良好：&gt;5%</t>
  </si>
  <si>
    <t>合同负债营收比变动：高风险：同比下降 &gt; 5 个百分点，关注：下降 2~5 个百分点，正常：&lt;2 个百分点</t>
  </si>
  <si>
    <t>存货营收比变动：高风险：同比上升 &gt; 5 个百分点，关注：3~5 个百分点，正常：&lt;3 个百分点</t>
  </si>
  <si>
    <t>Q4-Q1 收入差值率：高风险：&gt;100%，关注：50%~100%，正常：&lt;50%</t>
  </si>
  <si>
    <t>1 年以上应收账款占比：高风险：&gt;20%，关注：15%~20%，正常：&lt;15%</t>
  </si>
  <si>
    <t>Q2 毛利率：中间变量，不单独判断</t>
  </si>
  <si>
    <t>时段法收入占比：高风险：&gt;50% 且完工进度依赖管理层估计，关注：30%~50%，正常：&lt;30%</t>
  </si>
  <si>
    <t>本期销售退回率：中间变量，不单独判断</t>
  </si>
  <si>
    <t>销售收现比：高风险：&lt;1 且连续 2 年下降，关注：&lt;1 但稳定，正常：≥1</t>
  </si>
  <si>
    <t>合同负债增速差：高风险：&lt;-30 个百分点（合同负债增速远低于营收），关注：-20~-30 个百分点，正常：&gt;-20 个百分点</t>
  </si>
  <si>
    <t>存货增速差：高风险：&gt;30 个百分点（存货增速远超营收），关注：15~30 个百分点，正常：&lt;15 个百分点</t>
  </si>
  <si>
    <t>Q4 环比增速：高风险：&gt;50%，关注：30%~50%，正常：&lt;30%</t>
  </si>
  <si>
    <t>1 年以上应收账款余额：中间变量，不单独判断</t>
  </si>
  <si>
    <t>Q1 毛利率：中间变量，不单独判断</t>
  </si>
  <si>
    <t>收入确认政策变更次数：高风险：近 3 年≥2 次，关注：近 3 年 = 1 次，正常：0 次</t>
  </si>
  <si>
    <t>期后退回率：高风险：&gt;5%，关注：3%~5%，正常：&lt;3%</t>
  </si>
  <si>
    <t>合同负债同比增长率：中间变量，不单独判断</t>
  </si>
  <si>
    <t>应收账款同比增长率：中间变量，不单独判断</t>
  </si>
  <si>
    <t>Q4 收入占比：高风险：&gt;40%，关注：35%~40%，正常：&lt;35%</t>
  </si>
  <si>
    <t>资产负债表 + 利润表 + 年报附注（应收账款账龄分析、坏账准备、应收账款转移）</t>
  </si>
  <si>
    <t>利润表（分季度营业收入、分季度营业成本）</t>
  </si>
  <si>
    <t>年报附注（重要会计政策变更、收入确认政策、收入分解信息）</t>
  </si>
  <si>
    <t>利润表（分季度）+ 年报附注（资产负债表日后事项、会计差错更正）</t>
  </si>
  <si>
    <t>利润表 + 现金流量表</t>
  </si>
  <si>
    <t>利润表（分季度主要财务指标）</t>
  </si>
  <si>
    <t>Q4 毛利率同比变动 = Q4 毛利率 t - Q4 毛利率 t-1</t>
  </si>
  <si>
    <t>下半年 - 上半年毛利率差值 = 下半年毛利率 - 上半年毛利率</t>
  </si>
  <si>
    <t>下半年毛利率 =（Q3 营业收入 + Q4 营业收入 - Q3 营业成本 - Q4 营业成本）/（Q3 营业收入 + Q4 营业收入）× 100%</t>
  </si>
  <si>
    <t>DSRI =（期末应收账款余额 t / 营业收入 t）/（期末应收账款余额 t-1 / 营业收入 t-1）</t>
  </si>
  <si>
    <t>上半年毛利率 =（Q1 营业收入 + Q2 营业收入 - Q1 营业成本 - Q2 营业成本）/（Q1 营业收入 + Q2 营业收入）× 100%</t>
  </si>
  <si>
    <t>存货周转天数变动 = 存货周转天数 t - 存货周转天数 t-1</t>
  </si>
  <si>
    <t>DSO 变动 = 应收账款周转天数 t - 应收账款周转天数 t-1</t>
  </si>
  <si>
    <t>应收账款保理比例 =（应收账款保理金额 + 应收账款贴现金额 + 应收账款证券化金额）/ 应收账款期末账面余额 × 100%</t>
  </si>
  <si>
    <t>毛利率季度波动率 = √[（Q1 毛利率 - 年均毛利率）² +（Q2 毛利率 - 年均毛利率）² +（Q3 毛利率 - 年均毛利率）² +（Q4 毛利率 - 年均毛利率）²] / 4</t>
  </si>
  <si>
    <t>## 5. 经营现金流与收入背离</t>
  </si>
  <si>
    <t>坏账准备计提率变动 = 坏账准备计提率 t - 坏账准备计提率 t-1</t>
  </si>
  <si>
    <t>年均毛利率 =（Q1 毛利率 + Q2 毛利率 + Q3 毛利率 + Q4 毛利率）/ 4</t>
  </si>
  <si>
    <t>坏账准备计提率 = 坏账准备期末余额 / 应收账款账面余额合计 × 100%</t>
  </si>
  <si>
    <t>Q4 毛利率偏离度 = Q4 毛利率 - 前三季度平均毛利率</t>
  </si>
  <si>
    <t>递延收入合计变动率 =（递延收入合计 t - 递延收入合计 t-1）/ 递延收入合计 t-1 × 100%</t>
  </si>
  <si>
    <t>平均存货余额 =（期初存货余额 + 期末存货余额）/ 2</t>
  </si>
  <si>
    <t>平均应收账款余额 =（期初应收账款余额 + 期末应收账款余额）/ 2</t>
  </si>
  <si>
    <t>DSO 应收账款周转天数 = 平均应收账款余额 / 营业收入 × 365</t>
  </si>
  <si>
    <t>前三季度平均毛利率 =（Q1 毛利率 + Q2 毛利率 + Q3 毛利率）/ 3</t>
  </si>
  <si>
    <t>总额法收入占比 = 按总额法确认的营业收入 / 全年营业收入 × 100%</t>
  </si>
  <si>
    <t>营业收入冲销额占比 = 本期对上期营业收入的冲销调整额 / 上期营业收入 × 100%</t>
  </si>
  <si>
    <t>递延收入合计 = 期末合同负债余额 + 期末预收账款余额</t>
  </si>
  <si>
    <t>发出商品增速 =（发出商品期末余额 t - 发出商品期末余额 t-1）/ 发出商品期末余额 t-1 × 100%</t>
  </si>
  <si>
    <t>应收账款营收比变动 =（期末应收账款余额 t / 营业收入 t - 期末应收账款余额 t-1 / 营业收入 t-1）× 100%</t>
  </si>
  <si>
    <t>12 月收入集中度 = 12 月营业收入 / 第四季度营业收入 × 100%</t>
  </si>
  <si>
    <t>Q4 毛利率 =（Q4 营业收入 - Q4 营业成本）/ Q4 营业收入 × 100%</t>
  </si>
  <si>
    <t>收入确认时点激进度评分 = Σ（各业务线收入占比 × 确认时点得分），发货确认 = 3，签收确认 = 2，验收确认 = 1，收款确认 = 0</t>
  </si>
  <si>
    <t>销售退回率变动 = 本期销售退回率 - 上期销售退回率</t>
  </si>
  <si>
    <t>销售收现比变动 =（销售商品提供劳务收到的现金 t / 营业收入 t - 销售商品提供劳务收到的现金 t-1 / 营业收入 t-1）× 100%</t>
  </si>
  <si>
    <t>预收账款变动率 =（期末预收账款余额 t - 期末预收账款余额 t-1）/ 期末预收账款余额 t-1 × 100%</t>
  </si>
  <si>
    <t>发出商品占存货比 = 发出商品期末余额 / 存货期末账面余额 × 100%</t>
  </si>
  <si>
    <t>下半年收入占比 =（第三季度营业收入 + 第四季度营业收入）/ 全年营业收入 × 100%</t>
  </si>
  <si>
    <t>1 年以上占比变动 = 1 年以上应收账款占比 t - 1 年以上应收账款占比 t-1</t>
  </si>
  <si>
    <t>Q3 毛利率 =（Q3 营业收入 - Q3 营业成本）/ Q3 营业收入 × 100%</t>
  </si>
  <si>
    <t>发货确认收入占比 = 按发货确认收入的业务线收入 / 全年营业收入 × 100%</t>
  </si>
  <si>
    <t>上期销售退回率 = 上期销售退回金额 / 上期营业收入 × 100%</t>
  </si>
  <si>
    <t>经营现金流营收比 = 经营活动产生的现金流量净额 / 营业收入 × 100%</t>
  </si>
  <si>
    <t>合同负债营收比变动 =（期末合同负债余额 t / 营业收入 t - 期末合同负债余额 t-1 / 营业收入 t-1）× 100%</t>
  </si>
  <si>
    <t>存货营收比变动 =（期末存货余额 t / 营业收入 t - 期末存货余额 t-1 / 营业收入 t-1）× 100%</t>
  </si>
  <si>
    <t>Q4-Q1 收入差值率 =（第四季度营业收入 - 第一季度营业收入）/ 第一季度营业收入 × 100%</t>
  </si>
  <si>
    <t>1 年以上应收账款占比 = 1 年以上应收账款余额 / 应收账款账面余额合计 × 100%</t>
  </si>
  <si>
    <t>Q2 毛利率 =（Q2 营业收入 - Q2 营业成本）/ Q2 营业收入 × 100%</t>
  </si>
  <si>
    <t>时段法收入占比 = 按时段法确认的营业收入 / 全年营业收入 × 100%</t>
  </si>
  <si>
    <t>本期销售退回率 = 本期销售退回金额 / 本期营业收入 × 100%</t>
  </si>
  <si>
    <t>销售收现比 = 销售商品提供劳务收到的现金 / 营业收入 × 100%</t>
  </si>
  <si>
    <t>合同负债增速差 = 合同负债同比增长率 - 营业收入同比增长率</t>
  </si>
  <si>
    <t>存货增速差 = 存货同比增长率 - 营业收入同比增长率</t>
  </si>
  <si>
    <t>营业收入同比增长率 =（本期营业收入 - 上期营业收入）/ 上期营业收入 × 100%</t>
  </si>
  <si>
    <t>Q4 环比增速 =（第四季度营业收入 - 第三季度营业收入）/ 第三季度营业收入 × 100%</t>
  </si>
  <si>
    <t>1 年以上应收账款余额 = 1-2 年应收账款 + 2-3 年应收账款 + 3 年以上应收账款</t>
  </si>
  <si>
    <t>Q1 毛利率 =（Q1 营业收入 - Q1 营业成本）/ Q1 营业收入 × 100%</t>
  </si>
  <si>
    <t>收入确认政策变更次数 = 近 3 年发生收入确认会计政策变更的次数（直接计数）</t>
  </si>
  <si>
    <t>期后退回率 = 资产负债表日后销售退回金额 / 第四季度营业收入 × 100%</t>
  </si>
  <si>
    <t>净现比 = 经营活动产生的现金流量净额 / 净利润 × 100%</t>
  </si>
  <si>
    <t>合同负债同比增长率 =（期末合同负债余额 - 上年期末合同负债余额）/ 上年期末合同负债余额 × 100%</t>
  </si>
  <si>
    <t>存货同比增长率 =（期末存货余额 - 上年期末存货余额）/ 上年期末存货余额 × 100%</t>
  </si>
  <si>
    <t>应收账款同比增长率 =（期末应收账款余额 - 上年期末应收账款余额）/ 上年期末应收账款余额 × 100%</t>
  </si>
  <si>
    <t>Q4 收入占比 = 第四季度营业收入 / 全年营业收入 × 100%</t>
  </si>
  <si>
    <t>定性（含量化辅助指标）</t>
  </si>
  <si>
    <t>应收账款账龄与回收异常</t>
  </si>
  <si>
    <t>毛利率期末异常波动</t>
  </si>
  <si>
    <t>收入确认政策激进或频繁变更</t>
  </si>
  <si>
    <t>期后销售退回 / 冲销异常</t>
  </si>
  <si>
    <t>经营现金流与收入背离</t>
  </si>
  <si>
    <t>合同负债 / 预收账款异常减少</t>
  </si>
  <si>
    <t>存货与营收背离（未发货提前确认）</t>
  </si>
  <si>
    <t>应收账款与收入增速背离</t>
  </si>
  <si>
    <t>R002-S09</t>
  </si>
  <si>
    <t>R002-S08</t>
  </si>
  <si>
    <t>R002-S07</t>
  </si>
  <si>
    <t>R002-S06</t>
  </si>
  <si>
    <t>R002-S05</t>
  </si>
  <si>
    <t>R002-S04</t>
  </si>
  <si>
    <t>R002-S03</t>
  </si>
  <si>
    <t>R002-S02</t>
  </si>
  <si>
    <t>R002-S01</t>
  </si>
  <si>
    <t>企业在收入确认条件尚未满足时（商品未发出、客户未验收、服务未提供完毕），将本应属于后续期间的收入提前至本期确认。常见手段：期末突击开票、未发货即确认、完工百分比法高估进度、预收账款提前转收入、验收确认改发货确认。与虚构收入的区别：交易可能真实存在但确认时点违反准则</t>
  </si>
  <si>
    <t>提前确认收入（跨期确认）</t>
  </si>
  <si>
    <t>非经常性损益持续性、非经常性损益波动、非经常性损益结构、非经常性损益项目数量、非经常性损益集中度、扣非净利润连续为负、非经常性损益占比趋势、非经常性损益年度波动率、非经常性损益同比变动、非经常性损益可持续性、利润质量、盈利质量、核心利润、主业利润</t>
  </si>
  <si>
    <t>营业外收入、营业外支出、营业外收支、捐赠收入、违约金收入、罚款收入、无法支付的应付款项、其他收益、营业外收入明细、营业外支出明细、非流动资产毁损报废损失、赔偿收入、政府补助以外的其他收益、营业外收入其他项、预计负债</t>
  </si>
  <si>
    <t>投资收益、投资收益明细、处置长期股权投资收益、权益法核算投资收益、成本法核算投资收益、处置交易性金融资产收益、理财收益、委托理财、联营企业投资收益、合营企业投资收益、投资收益同比、投资收益占比、非主业投资、金融投资收益</t>
  </si>
  <si>
    <t>公允价值变动损益、公允价值变动收益、交易性金融资产、交易性金融负债、投资性房地产公允价值、其他非流动金融资产、公允价值变动、估值模型、估值技术、可观察输入值、不可观察输入值、公允价值层级、金融资产分类、FVTPL、FVOCI</t>
  </si>
  <si>
    <t>债务重组收益、债务重组损失、债务豁免、债务重组、非货币性资产交换、非货币性交易、换入资产、换出资产、债务重组损益、债权人豁免、修改其他债务条件、以资产清偿债务、将债务转为资本、营业外收入债务重组、投资收益债务重组</t>
  </si>
  <si>
    <t>政府补助、计入当期损益的政府补助、与资产相关的政府补助、与收益相关的政府补助、递延收益、政府补助明细、财政补贴、财政拨款、税收返还、即征即退、政府补助文件、政府补助到账、政府补助确认、政府补助摊销、其他收益、营业外收入政府补助</t>
  </si>
  <si>
    <t>非流动资产处置损益、资产处置收益、处置固定资产损益、处置无形资产损益、处置长期股权投资、处置子公司股权、资产处置、非货币性资产交换、资产处置损益、营业外收入处置、投资收益处置、年末处置资产、突击处置、资产出售、股权转让收益、处置对价公允性</t>
  </si>
  <si>
    <t>扣非净利润、扣除非经常性损益的净利润、净利润为正扣非为负、扭亏为盈、连续亏损、保壳、摘帽、退市风险警示、*ST、ST、主要会计数据、非经常性损益、净利润与扣非净利润差异、归属于上市公司股东的净利润、归属于上市公司股东的扣除非经常性损益的净利润</t>
  </si>
  <si>
    <t>非经常性损益、非经常性损益项目及金额、非经常性损益合计、非经常性损益占比、扣除非经常性损益的净利润、扣非净利润、归母净利润、净利润、利润总额、营业利润、非经常性损益明细、非经常性损益披露、非经常性损益同比、非经常性损益变动</t>
  </si>
  <si>
    <t>非经常性损益占比趋势斜率：高风险：斜率&gt;15（占比逐年快速上升），关注：斜率5~15，正常：斜率绝对值&lt;5或为负</t>
  </si>
  <si>
    <t>政府补助连续3年占净利润比均值：高风险：均值&gt;50%，关注：均值30%~50%，正常：均值&lt;30%</t>
  </si>
  <si>
    <t>扣非净利润连续为负年数：高风险：连续≥3年扣非为负，关注：连续2年扣非为负，正常：扣非持续为正或偶发1年为负</t>
  </si>
  <si>
    <t>营业外收入中"其他"项占比：高风险：&gt;40%，关注：20%~40%，正常：&lt;20%</t>
  </si>
  <si>
    <t>非主业投资收益占净利润比：高风险：&gt;40%，关注：20%~40%，正常：&lt;20%</t>
  </si>
  <si>
    <t>与收益相关政府补助占比：高风险：&gt;90%且一次性计入当期损益，关注：70%~90%，正常：&lt;70%</t>
  </si>
  <si>
    <t>资产处置收益与固定资产净值比：高风险：&gt;10%，关注：5%~10%，正常：&lt;5%</t>
  </si>
  <si>
    <t>净利润扭亏但扣非仍亏判断：高风险：=1（上年亏损本年扭亏但扣非仍亏），正常：=0</t>
  </si>
  <si>
    <t>非经常性损益占利润总额比：高风险：&gt;80%，关注：50%~80%，正常：&lt;50%</t>
  </si>
  <si>
    <t>非经常性损益结构集中度：高风险：&gt;70%，关注：50%~70%，正常：&lt;50%</t>
  </si>
  <si>
    <t>营业外收支净额占净利润比：高风险：&gt;25%（净收益），关注：10%~25%，正常：&lt;10%</t>
  </si>
  <si>
    <t>处置长期股权投资收益占投资收益比：高风险：&gt;50%，关注：30%~50%，正常：&lt;30%</t>
  </si>
  <si>
    <t>公允价值变动+投资收益合计占净利润比：高风险：&gt;60%，关注：30%~60%，正常：&lt;30%</t>
  </si>
  <si>
    <t>债务重组损益净额：高风险：净额&gt;0且占净利润&gt;30%，关注：净额&gt;0且占比10%~30%，正常：净额≈0或&lt;10%</t>
  </si>
  <si>
    <t>政府补助占营收比：高风险：&gt;3%，关注：1%~3%，正常：&lt;1%</t>
  </si>
  <si>
    <t>处置子公司股权收益占净利润比：高风险：&gt;40%，关注：20%~40%，正常：&lt;20%</t>
  </si>
  <si>
    <t>扣非净利润连续为负年数：高风险：连续≥2年扣非为负，关注：连续1年扣非为负，正常：扣非持续为正</t>
  </si>
  <si>
    <t>非经常性损益增速-净利润增速差：高风险：&gt;50个百分点，关注：20~50个百分点，正常：&lt;20个百分点</t>
  </si>
  <si>
    <t>非经常性损益项目数量：高风险：项目数≤2且合计金额&gt;净利润50%（过度集中），或项目数&gt;15（异常分散），关注：3~5个，正常：5~12个</t>
  </si>
  <si>
    <t>其他收益占净利润比：高风险：&gt;50%，关注：30%~50%，正常：&lt;30%</t>
  </si>
  <si>
    <t>投资收益同比增速：高风险：同比增长&gt;100%且营业利润同比增长&lt;30%，关注：增长50%~100%，正常：&lt;50%</t>
  </si>
  <si>
    <t>公允价值变动损益与交易性金融资产比：高风险：&gt;20%（年化收益率异常偏高），关注：10%~20%，正常：&lt;10%（参考市场平均年化收益率）</t>
  </si>
  <si>
    <t>债务重组收益同比变动：高风险：本期新增债务重组收益&gt;净利润30%（上期为0或极小），关注：新增10%~30%，正常：无重大变动</t>
  </si>
  <si>
    <t>政府补助同比增速：高风险：同比增长&gt;100%且无重大政策依据，关注：增长50%~100%，正常：&lt;50%</t>
  </si>
  <si>
    <t>资产处置收益同比增速：高风险：同比增长&gt;200%或由负转正且金额&gt;净利润30%，关注：增长50%~200%，正常：&lt;50%</t>
  </si>
  <si>
    <t>净利润为正扣非为负判断：高风险：=1（净利润为正但扣非为负），正常：=0</t>
  </si>
  <si>
    <t>非经常性损益同比增速：高风险：同比增长&gt;100%且净利润同比增长&lt;30%，关注：增长50%~100%，正常：&lt;50%</t>
  </si>
  <si>
    <t>非经常性损益连续3年占净利润比均值：高风险：均值&gt;60%，关注：均值30%~60%，正常：均值&lt;30%</t>
  </si>
  <si>
    <t>营业外收入同比增速：高风险：同比增长&gt;100%且金额&gt;净利润20%，关注：增长50%~100%，正常：&lt;50%</t>
  </si>
  <si>
    <t>投资收益占营业利润比：高风险：&gt;40%，关注：20%~40%，正常：&lt;20%</t>
  </si>
  <si>
    <t>公允价值变动损益同比增速：高风险：同比变动&gt;200%或由负转正且金额&gt;净利润20%，关注：变动50%~200%，正常：&lt;50%</t>
  </si>
  <si>
    <t>非货币性资产交换收益占净利润比：高风险：&gt;30%，关注：10%~30%，正常：&lt;10%（无非货币性交换收益为最佳）</t>
  </si>
  <si>
    <t>政府补助占非经常性损益比：高风险：&gt;70%，关注：40%~70%，正常：&lt;40%</t>
  </si>
  <si>
    <t>非流动资产处置损益占非经常性损益比：高风险：&gt;60%，关注：30%~60%，正常：&lt;30%</t>
  </si>
  <si>
    <t>扣非净利润占净利润比：高风险：&lt;0%（扣非为负但净利润为正），关注：0%~50%，正常：&gt;50%</t>
  </si>
  <si>
    <t>非经常性损益占营收比：高风险：&gt;5%，关注：2%~5%，正常：&lt;2%</t>
  </si>
  <si>
    <t>非经常性损益年度波动率：高风险：&gt;100%，关注：50%~100%，正常：&lt;50%</t>
  </si>
  <si>
    <t>营业外收入占净利润比：高风险：&gt;30%，关注：10%~30%，正常：&lt;10%</t>
  </si>
  <si>
    <t>投资收益占净利润比：高风险：&gt;50%，关注：30%~50%，正常：&lt;30%</t>
  </si>
  <si>
    <t>公允价值变动损益占净利润比：高风险：&gt;30%（收益）或&lt;-20%（损失），关注：10%~30%，正常：&lt;10%</t>
  </si>
  <si>
    <t>债务重组收益占净利润比：高风险：&gt;40%，关注：20%~40%，正常：&lt;20%（无债务重组收益为最佳）</t>
  </si>
  <si>
    <t>政府补助占净利润比：高风险：&gt;60%，关注：30%~60%，正常：&lt;30%</t>
  </si>
  <si>
    <t>非流动资产处置损益占净利润比：高风险：&gt;50%，关注：20%~50%，正常：&lt;20%</t>
  </si>
  <si>
    <t>净利润与扣非净利润差值：高风险：差值&gt;净利润的50%且净利润&gt;0，关注：差值为净利润的30%~50%，正常：&lt;30%</t>
  </si>
  <si>
    <t>非经常性损益占净利润比：高风险：&gt;100%，关注：50%~100%，正常：&lt;50%</t>
  </si>
  <si>
    <t>利润表 + 年报附注</t>
  </si>
  <si>
    <t>利润表</t>
  </si>
  <si>
    <t>年报附注</t>
  </si>
  <si>
    <t>非经常性损益占比趋势斜率：近3年非经常性损益占净利润比的线性回归斜率（逐年变化方向）</t>
  </si>
  <si>
    <t>政府补助连续3年占净利润比均值：近3年政府补助占净利润比的算术平均值</t>
  </si>
  <si>
    <t>扣非净利润连续为负年数：连续年度中扣除非经常性损益的净利润&lt;0的年数</t>
  </si>
  <si>
    <t>营业外收入中"其他"项占比：营业外收入明细中"其他"项金额 / 营业外收入合计 × 100%</t>
  </si>
  <si>
    <t>非主业投资收益占净利润比：(处置交易性金融资产收益 + 处置其他权益工具投资收益 + 理财收益 + 处置长期股权投资收益) / 净利润 × 100%</t>
  </si>
  <si>
    <t>与收益相关政府补助占比：与收益相关的政府补助 / 政府补助合计 × 100%</t>
  </si>
  <si>
    <t>资产处置收益与固定资产净值比：非流动资产处置损益 / 固定资产账面价值 × 100%</t>
  </si>
  <si>
    <t>净利润扭亏但扣非仍亏判断：IF(净利润_本期&gt;0 AND 净利润_上期&lt;0 AND 扣非净利润_本期&lt;0, 1, 0)</t>
  </si>
  <si>
    <t>非经常性损益占利润总额比：非经常性损益 / 利润总额 × 100%</t>
  </si>
  <si>
    <t>非经常性损益结构集中度：非经常性损益中金额最大的单一项目 / 非经常性损益合计 × 100%</t>
  </si>
  <si>
    <t>营业外收支净额占净利润比：(营业外收入 - 营业外支出) / 净利润 × 100%</t>
  </si>
  <si>
    <t>处置长期股权投资收益占投资收益比：处置长期股权投资产生的投资收益 / 投资收益合计 × 100%</t>
  </si>
  <si>
    <t>公允价值变动+投资收益合计占净利润比：(公允价值变动损益 + 投资收益) / 净利润 × 100%</t>
  </si>
  <si>
    <t>债务重组损益净额：债务重组收益 - 债务重组损失</t>
  </si>
  <si>
    <t>政府补助占营收比：计入当期损益的政府补助 / 营业收入 × 100%</t>
  </si>
  <si>
    <t>处置子公司股权收益占净利润比：处置子公司股权产生的投资收益 / 净利润 × 100%</t>
  </si>
  <si>
    <t>扣非净利润连续为负年数：连续年度中扣非净利润&lt;0的年数</t>
  </si>
  <si>
    <t>非经常性损益增速-净利润增速差：非经常性损益同比增速 - 净利润同比增速</t>
  </si>
  <si>
    <t>非经常性损益项目数量：非经常性损益明细表中列示的项目个数（金额不为0的项目）</t>
  </si>
  <si>
    <t>其他收益占净利润比：其他收益 / 净利润 × 100%</t>
  </si>
  <si>
    <t>投资收益同比增速：(本期投资收益 - 上期投资收益) / |上期投资收益| × 100%</t>
  </si>
  <si>
    <t>公允价值变动损益与交易性金融资产比：公允价值变动损益 / 交易性金融资产期末余额 × 100%</t>
  </si>
  <si>
    <t>债务重组收益同比变动：本期债务重组收益 - 上期债务重组收益</t>
  </si>
  <si>
    <t>政府补助同比增速：(本期政府补助 - 上期政府补助) / 上期政府补助 × 100%</t>
  </si>
  <si>
    <t>资产处置收益同比增速：(本期非流动资产处置损益 - 上期非流动资产处置损益) / |上期非流动资产处置损益| × 100%</t>
  </si>
  <si>
    <t>净利润为正扣非为负判断：IF(净利润&gt;0 AND 扣非净利润&lt;0, 1, 0)</t>
  </si>
  <si>
    <t>非经常性损益同比增速：(本期非经常性损益 - 上期非经常性损益) / |上期非经常性损益| × 100%</t>
  </si>
  <si>
    <t>非经常性损益连续3年占净利润比均值：近3年各年非经常性损益占净利润比的算术平均值</t>
  </si>
  <si>
    <t>营业外收入同比增速：(本期营业外收入 - 上期营业外收入) / 上期营业外收入 × 100%</t>
  </si>
  <si>
    <t>投资收益占营业利润比：投资收益 / 营业利润 × 100%</t>
  </si>
  <si>
    <t>公允价值变动损益同比增速：(本期公允价值变动损益 - 上期公允价值变动损益) / |上期公允价值变动损益| × 100%</t>
  </si>
  <si>
    <t>非货币性资产交换收益占净利润比：非货币性资产交换产生的收益 / 净利润 × 100%</t>
  </si>
  <si>
    <t>政府补助占非经常性损益比：计入当期损益的政府补助 / 非经常性损益合计 × 100%</t>
  </si>
  <si>
    <t>非流动资产处置损益占非经常性损益比：非流动资产处置损益 / 非经常性损益合计 × 100%</t>
  </si>
  <si>
    <t>扣非净利润占净利润比：扣除非经常性损益的净利润 / 净利润 × 100%</t>
  </si>
  <si>
    <t>非经常性损益占营收比：非经常性损益 / 营业收入 × 100%</t>
  </si>
  <si>
    <t>非经常性损益年度波动率：近3年非经常性损益的标准差 / 近3年非经常性损益均值的绝对值 × 100%</t>
  </si>
  <si>
    <t>营业外收入占净利润比：营业外收入 / 净利润 × 100%</t>
  </si>
  <si>
    <t>投资收益占净利润比：投资收益 / 净利润 × 100%</t>
  </si>
  <si>
    <t>公允价值变动损益占净利润比：公允价值变动损益 / 净利润 × 100%</t>
  </si>
  <si>
    <t>债务重组收益占净利润比：债务重组收益 / 净利润 × 100%</t>
  </si>
  <si>
    <t>政府补助占净利润比：计入当期损益的政府补助 / 净利润 × 100%</t>
  </si>
  <si>
    <t>非流动资产处置损益占净利润比：非流动资产处置损益（包括已计提资产减值准备的冲销部分） / 净利润 × 100%</t>
  </si>
  <si>
    <t>净利润与扣非净利润差值：净利润 - 扣除非经常性损益的净利润</t>
  </si>
  <si>
    <t>非经常性损益占净利润比：非经常性损益 / 净利润 × 100%</t>
  </si>
  <si>
    <t>非经常性损益持续性/波动性异常</t>
  </si>
  <si>
    <t>营业外收支/其他收益异常</t>
  </si>
  <si>
    <t>投资收益异常（非主业）</t>
  </si>
  <si>
    <t>公允价值变动损益异常</t>
  </si>
  <si>
    <t>债务重组/非货币性交换收益异常</t>
  </si>
  <si>
    <t>政府补助异常</t>
  </si>
  <si>
    <t>资产处置收益异常</t>
  </si>
  <si>
    <t>扣非净利润与净利润背离</t>
  </si>
  <si>
    <t>非经常性损益占比异常</t>
  </si>
  <si>
    <t>R003-S09</t>
  </si>
  <si>
    <t>R003-S08</t>
  </si>
  <si>
    <t>R003-S07</t>
  </si>
  <si>
    <t>R003-S06</t>
  </si>
  <si>
    <t>R003-S05</t>
  </si>
  <si>
    <t>R003-S04</t>
  </si>
  <si>
    <t>R003-S03</t>
  </si>
  <si>
    <t>R003-S02</t>
  </si>
  <si>
    <t>R003-S01</t>
  </si>
  <si>
    <t>虚增非经常性损益是指企业通过虚构或夸大非经常性损益项目（如政府补助、资产处置收益、债务重组收益、非货币性资产交换收益、公允价值变动损益等），或将日常经营损益包装为非经常性损益，以虚增净利润、实现扭亏为盈或满足再融资/保壳条件。核心特征：净利润为正但扣除非经常性损益后的净利润为负或远低于净利润，非经常性损益占净利润比例极高且不可持续。常见手段：①虚构政府补助或提前确认与资产相关的政府补助；②年末突击处置资产产生大额处置收益；③通过债务豁免、非货币性资产交换产生收益；④将日常经营收入包装为营业外收入；⑤利用公允价值变动和投资收益调节利润。</t>
  </si>
  <si>
    <t>虚增非经常性损益</t>
  </si>
  <si>
    <t>R003</t>
  </si>
  <si>
    <t>预计负债、预提费用、产品质量保证、销售返利、销售退回、未决诉讼、亏损合同、弃置费用、预计负债余额、预计负债同比、预计负债计提、预计负债明细、其他应付款、应付暂估款、预提费用明细、保修费用、返利计提、会计估计变更</t>
  </si>
  <si>
    <t>应付账款、应付票据、应付账款余额、应付账款同比、应付账款增长、应付账款周转天数、应付账款周转率、应付款项、应付票据占比、银行承兑汇票、商业承兑汇票、预付账款、采购成本、供应商、应付账款账龄、应付账款明细、截止性测试、应付账款暂估</t>
  </si>
  <si>
    <t>资产减值损失、信用减值损失、存货跌价准备、坏账准备、固定资产减值准备、商誉减值准备、无形资产减值准备、在建工程减值准备、减值计提、减值计提率、减值转回、资产减值、商誉减值、减值测试、可变现净值、预期信用损失、账龄分析、资产减值明细</t>
  </si>
  <si>
    <t>固定资产折旧、累计折旧、折旧率、折旧年限、折旧方法、残值率、直线法、加速折旧法、年数总和法、双倍余额递减法、固定资产原值、固定资产净值、固定资产成新率、无形资产摊销、累计摊销、摊销年限、摊销方法、会计估计变更、折旧政策变更</t>
  </si>
  <si>
    <t>研发支出、研发费用、开发支出、研发投入、研发资本化、资本化率、资本化金额、费用化金额、研发投入资本化比例、开发支出余额、开发支出增长、研发项目、资本化时点、开发阶段、研究阶段、研发投入明细、高新技术企业、研发费用加计扣除</t>
  </si>
  <si>
    <t>销售费用、管理费用、研发费用、财务费用、期间费用、销售费用率、管理费用率、研发费用率、期间费用率、费用体外化、费用增长、费用增速、费用不跟随收入增长、大股东承担费用、关联方承担费用、广告费、销售佣金、销售费用明细、管理费用明细、降本增效</t>
  </si>
  <si>
    <t>营业成本、营业成本同比、营业成本增长、营业成本率、成本率、成本增速、营收增速、成本增速差、营业成本跨期、成本延迟结转、Q4营业成本、第四季度成本、分季度营业成本、季度成本率、成本结转不足、成本确认、成本完整性、成本截止</t>
  </si>
  <si>
    <t>存货、存货余额、存货账面余额、存货账面价值、存货同比、存货增长、存货规模、存货周转率、存货周转天数、存货占比、存货结构、库存商品、发出商品、原材料、在途物资、委托加工物资、存货跌价准备、存货积压、存货周转减慢、平均存货余额</t>
  </si>
  <si>
    <t>毛利率、销售毛利率、主营业务毛利率、综合毛利率、毛利率变动、毛利率同比、毛利率环比、毛利率波动、毛利率行业对比、营业成本、营业总成本、主营业务成本、营业成本率、成本率、成本结转、存货结转成本、成本跨期、成本延迟确认、已发生成本不入账、压低营业成本</t>
  </si>
  <si>
    <t>销售费用率行业偏离度：高风险：低于行业均值&gt;50%（即仅为行业一半以下），关注：低于行业均值30%~50%，正常：偏离&lt;30%</t>
  </si>
  <si>
    <t>其他应付款中预提费用占比：高风险：同比下降&gt;20个百分点且成本费用增长，关注：下降10~20个百分点，正常：稳定</t>
  </si>
  <si>
    <t>应付账款周转天数同比变动：高风险：同比缩短&gt;20天，关注：缩短10~20天，正常：波动&lt;10天</t>
  </si>
  <si>
    <t>商誉减值准备计提率：高风险：=0且商誉占总资产&gt;20%且被投资单位业绩下滑，关注：计提率&lt;5%且商誉规模大，正常：按减值测试结果计提</t>
  </si>
  <si>
    <t>折旧费用占营收比：高风险：同比下降&gt;1个百分点且营收增长&gt;15%，关注：下降0.5~1个百分点，正常：波动&lt;0.5个百分点</t>
  </si>
  <si>
    <t>开发支出占无形资产比：高风险：&gt;30%且持续上升，关注：20%~30%，正常：&lt;20%</t>
  </si>
  <si>
    <t>期间费用率同比变动：高风险：同比下降&gt;5个百分点，关注：下降3~5个百分点，正常：波动&lt;3个百分点</t>
  </si>
  <si>
    <t>营业成本季度波动率：高风险：标准差&gt;5个百分点，关注：3~5个百分点，正常：&lt;3个百分点</t>
  </si>
  <si>
    <t>存货占总资产比：高风险：连续2年上升且占比&gt;30%，关注：连续2年上升且占比20%~30%，正常：稳定或下降</t>
  </si>
  <si>
    <t>毛利率季度波动率：高风险：标准差&gt;5个百分点，关注：3~5个百分点，正常：&lt;3个百分点</t>
  </si>
  <si>
    <t>预计负债连续下降年数：高风险：连续≥2年下降且营收增长，关注：连续1年下降且营收增长，正常：稳定或增长</t>
  </si>
  <si>
    <t>应付账款占营业成本比：高风险：同比下降&gt;10个百分点且营业成本增长，关注：下降5~10个百分点，正常：波动&lt;5个百分点</t>
  </si>
  <si>
    <t>存货跌价准备计提率同比变动：高风险：同比下降&gt;1个百分点且存货增长&gt;20%，关注：下降0.5~1个百分点，正常：波动&lt;0.5个百分点或上升</t>
  </si>
  <si>
    <t>固定资产成新率：高风险：成新率持续下降但折旧率同时下降（折旧不足），关注：成新率&lt;40%且折旧率下降，正常：成新率与折旧率匹配</t>
  </si>
  <si>
    <t>研发资本化率行业偏离度：高风险：高于行业均值&gt;30个百分点，关注：高于行业均值15~30个百分点，正常：偏离&lt;15个百分点</t>
  </si>
  <si>
    <t>销售费用增速-营收增速差：高风险：&lt;-25个百分点（销售费用增速远低于营收增速），关注：-15~-25个百分点，正常：差异&lt;15个百分点</t>
  </si>
  <si>
    <t>Q4营业成本占比：高风险：&lt;20%（成本延迟结转至次年），关注：20%~25%，正常：25%~30%（均匀分布约25%）</t>
  </si>
  <si>
    <t>存货周转天数：高风险：同比增加&gt;30天且高于行业均值，关注：增加15~30天，正常：增加&lt;15天</t>
  </si>
  <si>
    <t>主营业务毛利率：高风险：主营业务毛利率同比上升&gt;8个百分点，关注：上升5~8个百分点，正常：&lt;5个百分点</t>
  </si>
  <si>
    <t>销售费用中预提费用占比：高风险：=0或&lt;1%且行业惯例需计提（如家电、汽车、消费品），关注：&lt;行业均值50%，正常：与行业惯例匹配</t>
  </si>
  <si>
    <t>应付票据占应付款项比：高风险：同比上升&gt;15个百分点，关注：上升10~15个百分点，正常：波动&lt;10个百分点</t>
  </si>
  <si>
    <t>信用减值损失占营收比：高风险：连续2年下降且应收账款增长&gt;20%，关注：同比下降&gt;50%，正常：与应收账款规模匹配</t>
  </si>
  <si>
    <t>折旧政策变更判断：高风险：=1且变更方向为延长年限/降低折旧率，关注：=1但变更方向不明确，正常：=0</t>
  </si>
  <si>
    <t>研发投入总额：中间变量，不单独判断</t>
  </si>
  <si>
    <t>期间费用率合计：高风险：同比下降&gt;5个百分点且营收增长&gt;15%，关注：下降3~5个百分点，正常：波动&lt;3个百分点</t>
  </si>
  <si>
    <t>营业成本率同比变动：高风险：同比下降&gt;5个百分点，关注：下降3~5个百分点，正常：波动&lt;3个百分点</t>
  </si>
  <si>
    <t>存货周转率：高风险：同比下降&gt;20%且低于行业均值，关注：下降10%~20%，正常：下降&lt;10%或上升</t>
  </si>
  <si>
    <t>毛利率连续上升年数：高风险：连续≥3年毛利率上升且营收增长，关注：连续2年上升，正常：波动上升或下降</t>
  </si>
  <si>
    <t>预计负债占营收比同比变动：高风险：同比下降&gt;1个百分点且营收增长&gt;15%，关注：下降0.5~1个百分点，正常：波动&lt;0.5个百分点</t>
  </si>
  <si>
    <t>应付账款周转天数：高风险：同比缩短&gt;20天且营业成本增长，关注：缩短10~20天，正常：波动&lt;10天或延长</t>
  </si>
  <si>
    <t>资产减值损失占营收比：高风险：连续2年下降且资产规模增长&gt;20%，关注：同比下降&gt;50%，正常：与资产规模匹配</t>
  </si>
  <si>
    <t>无形资产摊销率：高风险：同比下降&gt;3个百分点且无合理理由，关注：下降1.5~3个百分点，正常：波动&lt;1.5个百分点</t>
  </si>
  <si>
    <t>开发支出同比增速：高风险：同比增长&gt;100%且净利润同比增长&lt;30%，关注：增长50%~100%，正常：&lt;50%</t>
  </si>
  <si>
    <t>研发费用率：高风险：同比下降&gt;2个百分点且公司宣称研发投入加大，关注：下降1~2个百分点，正常：稳定或上升</t>
  </si>
  <si>
    <t>营业成本率：高风险：同比下降&gt;5个百分点且无合理理由，关注：下降3~5个百分点，正常：波动&lt;3个百分点</t>
  </si>
  <si>
    <t>存货增速-营收增速差：高风险：&gt;30个百分点，关注：15~30个百分点，正常：&lt;15个百分点</t>
  </si>
  <si>
    <t>毛利率行业偏离度：高风险：高于行业均值&gt;10个百分点，关注：高于行业均值5~10个百分点，正常：偏离&lt;5个百分点</t>
  </si>
  <si>
    <t>预计负债占营收比：高风险：连续2年下降且营收增长，关注：同比下降&gt;20%，正常：稳定或随营收增长</t>
  </si>
  <si>
    <t>应付账款增速-营业成本增速差：高风险：&lt;-25个百分点（应付账款增速远低于成本增速），关注：-15~-25个百分点，正常：差异&lt;15个百分点</t>
  </si>
  <si>
    <t>坏账准备计提率：高风险：同比下降&gt;2个百分点且应收账款增长&gt;20%，关注：下降1~2个百分点，正常：波动&lt;1个百分点或上升</t>
  </si>
  <si>
    <t>折旧率同比变动：高风险：同比下降&gt;2个百分点，关注：下降1~2个百分点，正常：波动&lt;1个百分点</t>
  </si>
  <si>
    <t>资本化研发支出占净利润比：高风险：&gt;50%（扣除资本化后净利润可能为负或大幅下降），关注：30%~50%，正常：&lt;30%</t>
  </si>
  <si>
    <t>管理费用率：高风险：同比下降&gt;3个百分点且营收增长，关注：下降2~3个百分点，正常：波动&lt;2个百分点</t>
  </si>
  <si>
    <t>营收增速-成本增速差：高风险：&gt;25个百分点，关注：15~25个百分点，正常：&lt;15个百分点</t>
  </si>
  <si>
    <t>存货增速-营业成本增速差：高风险：&gt;25个百分点，关注：15~25个百分点，正常：&lt;15个百分点</t>
  </si>
  <si>
    <t>毛利率同比变动：高风险：同比上升&gt;8个百分点，关注：上升5~8个百分点，正常：波动&lt;5个百分点</t>
  </si>
  <si>
    <t>预计负债同比增速：高风险：同比下降&gt;30%且营业收入增长&gt;15%，关注：下降15%~30%，正常：与营收匹配增长或稳定</t>
  </si>
  <si>
    <t>应付账款同比增速：高风险：营业成本增长&gt;20%但应付账款增长&lt;5%或为负，关注：成本增长但应付账款增速为成本增速50%以下，正常：与营业成本增速基本匹配</t>
  </si>
  <si>
    <t>存货跌价准备计提率：高风险：&lt;1%且存货规模持续增长，关注：1%~3%，正常：&gt;3%（需结合行业属性）</t>
  </si>
  <si>
    <t>固定资产折旧率：高风险：同比下降&gt;2个百分点且无合理理由，关注：下降1~2个百分点，正常：波动&lt;1个百分点</t>
  </si>
  <si>
    <t>研发支出资本化率：高风险：&gt;60%，关注：40%~60%，正常：&lt;40%（A股平均约10%~25%）</t>
  </si>
  <si>
    <t>销售费用率：高风险：同比下降&gt;3个百分点且营收增长&gt;15%，关注：下降2~3个百分点，正常：波动&lt;2个百分点</t>
  </si>
  <si>
    <t>营业成本同比增速：高风险：营收增长&gt;20%但营业成本增长&lt;5%，关注：营收增长但成本增速为营收增速的50%以下，正常：成本增速与营收增速基本匹配</t>
  </si>
  <si>
    <t>存货同比增速：高风险：同比增长&gt;50%且营业成本增速&lt;20%，关注：增长30%~50%，正常：&lt;30%</t>
  </si>
  <si>
    <t>销售毛利率：高风险：同比上升&gt;8个百分点且无合理理由，关注：上升5~8个百分点，正常：&lt;5个百分点</t>
  </si>
  <si>
    <t>利润表附注 + 资产负债表 + 资产负债表附注</t>
  </si>
  <si>
    <t>资产负债表</t>
  </si>
  <si>
    <t>利润表 + 资产负债表附注</t>
  </si>
  <si>
    <t>年报附注 + 现金流量表补充资料 + 资产负债表 + 资产负债表附注</t>
  </si>
  <si>
    <t>利润表 + 年报附注 + 资产负债表</t>
  </si>
  <si>
    <t>利润表 + 资产负债表</t>
  </si>
  <si>
    <t>利润表 + 利润表附注</t>
  </si>
  <si>
    <t>销售费用率行业偏离度：公司销售费用率 - 行业平均销售费用率</t>
  </si>
  <si>
    <t>其他应付款中预提费用占比：其他应付款中预提费用/应付暂估 / 其他应付款合计 × 100%</t>
  </si>
  <si>
    <t>应付账款周转天数同比变动：本期应付账款周转天数 - 上期应付账款周转天数</t>
  </si>
  <si>
    <t>商誉减值准备计提率：商誉减值准备期末余额 / 商誉账面余额 × 100%</t>
  </si>
  <si>
    <t>折旧费用占营收比：折旧费用 / 营业收入 × 100%</t>
  </si>
  <si>
    <t>开发支出占无形资产比：开发支出期末余额 / (开发支出+无形资产) × 100%</t>
  </si>
  <si>
    <t>期间费用率同比变动：本期期间费用率合计 - 上期期间费用率合计</t>
  </si>
  <si>
    <t>营业成本季度波动率：近4个季度营业成本率的标准差</t>
  </si>
  <si>
    <t>存货占总资产比：存货期末余额 / 总资产期末余额 × 100%</t>
  </si>
  <si>
    <t>毛利率季度波动率：近4个季度销售毛利率的样本标准差</t>
  </si>
  <si>
    <t>预计负债连续下降年数：连续年度中预计负债期末余额逐年下降的年数</t>
  </si>
  <si>
    <t>应付账款占营业成本比：应付账款期末余额 / 营业成本 × 100%</t>
  </si>
  <si>
    <t>存货跌价准备计提率同比变动：本期存货跌价准备计提率 - 上期存货跌价准备计提率</t>
  </si>
  <si>
    <t>固定资产成新率：固定资产净值 / 固定资产原值 × 100%</t>
  </si>
  <si>
    <t>研发资本化率行业偏离度：公司研发支出资本化率 - 行业平均研发支出资本化率</t>
  </si>
  <si>
    <t>销售费用增速-营收增速差：销售费用同比增速 - 营业收入同比增速</t>
  </si>
  <si>
    <t>Q4营业成本占比：第四季度营业成本 / 全年营业成本 × 100%</t>
  </si>
  <si>
    <t>存货周转天数：365 / 存货周转率，或 = 平均存货余额 / 营业成本 × 365</t>
  </si>
  <si>
    <t>主营业务毛利率：(主营业务收入 - 主营业务成本) / 主营业务收入 × 100%</t>
  </si>
  <si>
    <t>销售费用中预提费用占比：销售费用中预提的保修费/返利费等 / 销售费用合计 × 100%</t>
  </si>
  <si>
    <t>应付票据占应付款项比：应付票据 / (应付票据 + 应付账款) × 100%</t>
  </si>
  <si>
    <t>信用减值损失占营收比：信用减值损失 / 营业收入 × 100%（损失以正数列示）</t>
  </si>
  <si>
    <t>折旧政策变更判断：IF(近3年发生折旧年限/折旧方法/残值率变更, 1, 0)</t>
  </si>
  <si>
    <t>研发投入总额：研发费用 + 开发支出资本化金额</t>
  </si>
  <si>
    <t>期间费用率合计：(销售费用+管理费用+研发费用+财务费用) / 营业收入 × 100%</t>
  </si>
  <si>
    <t>营业成本率同比变动：本期营业成本率 - 上期营业成本率</t>
  </si>
  <si>
    <t>存货周转率：营业成本 / 平均存货余额，平均存货余额=(期初存货+期末存货)/2</t>
  </si>
  <si>
    <t>毛利率连续上升年数：连续年度中销售毛利率逐年上升的年数</t>
  </si>
  <si>
    <t>预计负债占营收比同比变动：本期预计负债占营收比 - 上期预计负债占营收比</t>
  </si>
  <si>
    <t>应付账款周转天数：应付账款平均余额 / 营业成本 × 365，应付账款平均余额=(期初+期末应付账款)/2</t>
  </si>
  <si>
    <t>资产减值损失占营收比：资产减值损失 / 营业收入 × 100%（损失以正数列示）</t>
  </si>
  <si>
    <t>无形资产摊销率：本期累计摊销增加额 / 无形资产原值平均余额 × 100%</t>
  </si>
  <si>
    <t>开发支出同比增速：(本期开发支出期末余额 - 上期开发支出期末余额) / 上期开发支出期末余额 × 100%</t>
  </si>
  <si>
    <t>研发费用率：研发费用 / 营业收入 × 100%</t>
  </si>
  <si>
    <t>营业成本率：营业成本 / 营业收入 × 100%</t>
  </si>
  <si>
    <t>存货增速-营收增速差：存货同比增速 - 营业收入同比增速</t>
  </si>
  <si>
    <t>毛利率行业偏离度：公司销售毛利率 - 行业平均销售毛利率</t>
  </si>
  <si>
    <t>预计负债占营收比：预计负债期末余额 / 营业收入 × 100%</t>
  </si>
  <si>
    <t>应付账款增速-营业成本增速差：应付账款同比增速 - 营业成本同比增速</t>
  </si>
  <si>
    <t>坏账准备计提率：坏账准备期末余额 / 应收账款账面余额 × 100%</t>
  </si>
  <si>
    <t>折旧率同比变动：本期固定资产折旧率 - 上期固定资产折旧率</t>
  </si>
  <si>
    <t>资本化研发支出占净利润比：开发支出资本化金额 / 净利润 × 100%</t>
  </si>
  <si>
    <t>管理费用率：管理费用 / 营业收入 × 100%</t>
  </si>
  <si>
    <t>营收增速-成本增速差：营业收入同比增速 - 营业成本同比增速</t>
  </si>
  <si>
    <t>存货增速-营业成本增速差：存货同比增速 - 营业成本同比增速</t>
  </si>
  <si>
    <t>毛利率同比变动：本期销售毛利率 - 上期销售毛利率</t>
  </si>
  <si>
    <t>预计负债同比增速：(本期预计负债期末余额 - 上期预计负债期末余额) / 上期预计负债期末余额 × 100%</t>
  </si>
  <si>
    <t>应付账款同比增速：(本期应付账款期末余额 - 上期应付账款期末余额) / 上期应付账款期末余额 × 100%</t>
  </si>
  <si>
    <t>存货跌价准备计提率：存货跌价准备期末余额 / 存货账面余额 × 100%</t>
  </si>
  <si>
    <t>固定资产折旧率：本期累计折旧增加额 / 固定资产原值平均余额 × 100%</t>
  </si>
  <si>
    <t>研发支出资本化率：开发支出资本化金额 / 研发支出总额 × 100%，研发支出总额=研发费用+开发支出资本化金额</t>
  </si>
  <si>
    <t>销售费用率：销售费用 / 营业收入 × 100%</t>
  </si>
  <si>
    <t>营业成本同比增速：(本期营业成本 - 上期营业成本) / 上期营业成本 × 100%</t>
  </si>
  <si>
    <t>存货同比增速：(本期存货期末余额 - 上期存货期末余额) / 上期存货期末余额 × 100%</t>
  </si>
  <si>
    <t>销售毛利率：(营业收入 - 营业成本) / 营业收入 × 100%</t>
  </si>
  <si>
    <t>预提费用/预计负债计提不足</t>
  </si>
  <si>
    <t>应付账款/应付票据异常（延迟确认采购成本）</t>
  </si>
  <si>
    <t>资产减值准备计提不足</t>
  </si>
  <si>
    <t>折旧/摊销政策异常</t>
  </si>
  <si>
    <t>研发支出资本化比例异常</t>
  </si>
  <si>
    <t>期间费用不跟随收入增长（费用体外化）</t>
  </si>
  <si>
    <t>营业成本增速与营收增速背离</t>
  </si>
  <si>
    <t>存货规模持续变大/存货与营业成本背离</t>
  </si>
  <si>
    <t>毛利率异常持续走高</t>
  </si>
  <si>
    <t>R004-S09</t>
  </si>
  <si>
    <t>R004-S08</t>
  </si>
  <si>
    <t>R004-S07</t>
  </si>
  <si>
    <t>R004-S06</t>
  </si>
  <si>
    <t>R004-S05</t>
  </si>
  <si>
    <t>R004-S04</t>
  </si>
  <si>
    <t>R004-S03</t>
  </si>
  <si>
    <t>R004-S02</t>
  </si>
  <si>
    <t>R004-S01</t>
  </si>
  <si>
    <t>少计/延迟确认成本是指企业通过已发生成本不入账、存货结转成本不足、人为压低营业成本、费用体外化（由大股东或关联方承担公司费用）、将应费用化的支出资本化（如研发支出、利息支出）、延长折旧摊销年限、少计提资产减值准备等方式，少计或延迟确认成本费用，以虚增当期利润。核心特征：毛利率异常持续走高、存货规模持续变大、收入扩张但期间费用不跟随增长、研发资本化比例远高于同行。常见手段：①已发生成本不入账，存货结转成本不足，人为压低营业成本；②大股东体外支付公司广告费、研发费、销售佣金，账面少记销售/管理/研发费用；③把非研发支出计入研发费用，资本化时点不合理，把应当费用化的支出资本化。</t>
  </si>
  <si>
    <t>少计/延迟确认成本</t>
  </si>
  <si>
    <t>R004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</si>
</sst>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charset val="134"/>
      <scheme val="minor"/>
    </font>
    <font>
      <sz val="9"/>
      <name val="宋体"/>
      <family val="3"/>
      <charset val="134"/>
      <scheme val="minor"/>
    </font>
    <font>
      <sz val="11"/>
      <color theme="1"/>
      <name val="宋体"/>
      <family val="3"/>
      <charset val="134"/>
      <scheme val="minor"/>
    </font>
    <font>
      <b/>
      <sz val="11"/>
      <color theme="1"/>
      <name val="宋体"/>
      <family val="3"/>
      <charset val="134"/>
      <scheme val="minor"/>
    </font>
    <font>
      <sz val="11"/>
      <color theme="1"/>
      <name val="宋体"/>
      <family val="1"/>
      <scheme val="minor"/>
    </font>
    <font>
      <sz val="11"/>
      <color theme="1"/>
      <name val="Cambria Math"/>
      <family val="1"/>
    </font>
    <font>
      <b/>
      <sz val="9"/>
      <name val="宋体"/>
      <family val="3"/>
      <charset val="134"/>
    </font>
    <font>
      <sz val="9"/>
      <name val="宋体"/>
      <family val="3"/>
      <charset val="134"/>
    </font>
    <font>
      <sz val="10.5"/>
      <color theme="1"/>
      <name val="宋体"/>
      <family val="3"/>
      <charset val="134"/>
    </font>
    <font>
      <sz val="10"/>
      <name val="微软雅黑"/>
      <family val="2"/>
      <charset val="134"/>
    </font>
  </fonts>
  <fills count="2">
    <fill>
      <patternFill patternType="none"/>
    </fill>
    <fill>
      <patternFill patternType="gray125"/>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s>
  <cellStyleXfs count="3">
    <xf numFmtId="0" fontId="0" fillId="0" borderId="0">
      <alignment vertical="center"/>
    </xf>
    <xf numFmtId="0" fontId="2" fillId="0" borderId="0"/>
    <xf numFmtId="0" fontId="2" fillId="0" borderId="0">
      <alignment vertical="center"/>
    </xf>
  </cellStyleXfs>
  <cellXfs count="77">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0" borderId="1" xfId="0" applyFont="1" applyBorder="1">
      <alignment vertical="center"/>
    </xf>
    <xf numFmtId="0" fontId="2" fillId="0" borderId="1" xfId="0" applyFont="1" applyBorder="1" applyAlignment="1">
      <alignment vertical="center" wrapText="1"/>
    </xf>
    <xf numFmtId="0" fontId="0" fillId="0" borderId="1" xfId="0" applyBorder="1">
      <alignment vertical="center"/>
    </xf>
    <xf numFmtId="0" fontId="2" fillId="0" borderId="3" xfId="0" applyFont="1" applyBorder="1">
      <alignment vertical="center"/>
    </xf>
    <xf numFmtId="0" fontId="2" fillId="0" borderId="4" xfId="0" applyFont="1" applyBorder="1">
      <alignment vertical="center"/>
    </xf>
    <xf numFmtId="0" fontId="2" fillId="0" borderId="3" xfId="0" applyFont="1" applyBorder="1" applyAlignment="1">
      <alignment vertical="center" wrapText="1"/>
    </xf>
    <xf numFmtId="0" fontId="2" fillId="0" borderId="4" xfId="0" applyFont="1" applyBorder="1" applyAlignment="1">
      <alignment vertical="center" wrapText="1"/>
    </xf>
    <xf numFmtId="0" fontId="0" fillId="0" borderId="4" xfId="0" applyBorder="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2" fillId="0" borderId="6" xfId="0" applyFont="1" applyBorder="1" applyAlignment="1">
      <alignment horizontal="left" vertical="center" wrapText="1"/>
    </xf>
    <xf numFmtId="0" fontId="2" fillId="0" borderId="0" xfId="0" applyFont="1" applyAlignment="1">
      <alignment horizontal="center" vertical="center"/>
    </xf>
    <xf numFmtId="0" fontId="2" fillId="0" borderId="9" xfId="0" applyFont="1" applyBorder="1">
      <alignment vertical="center"/>
    </xf>
    <xf numFmtId="0" fontId="0" fillId="0" borderId="10" xfId="0" applyBorder="1">
      <alignment vertical="center"/>
    </xf>
    <xf numFmtId="0" fontId="2" fillId="0" borderId="10" xfId="0" applyFont="1" applyBorder="1">
      <alignment vertical="center"/>
    </xf>
    <xf numFmtId="0" fontId="2" fillId="0" borderId="11" xfId="0" applyFont="1" applyBorder="1">
      <alignment vertical="center"/>
    </xf>
    <xf numFmtId="0" fontId="2" fillId="0" borderId="12" xfId="0" applyFont="1" applyBorder="1">
      <alignment vertical="center"/>
    </xf>
    <xf numFmtId="0" fontId="0" fillId="0" borderId="0" xfId="0" applyAlignment="1">
      <alignment vertical="center" wrapText="1"/>
    </xf>
    <xf numFmtId="0" fontId="2" fillId="0" borderId="13" xfId="0" applyFont="1" applyBorder="1" applyAlignment="1">
      <alignment vertical="center" wrapText="1"/>
    </xf>
    <xf numFmtId="0" fontId="2" fillId="0" borderId="13" xfId="0" applyFont="1" applyBorder="1">
      <alignment vertical="center"/>
    </xf>
    <xf numFmtId="0" fontId="2" fillId="0" borderId="14" xfId="0" applyFont="1" applyBorder="1">
      <alignment vertical="center"/>
    </xf>
    <xf numFmtId="0" fontId="0" fillId="0" borderId="15" xfId="0" applyBorder="1">
      <alignment vertical="center"/>
    </xf>
    <xf numFmtId="0" fontId="2" fillId="0" borderId="15" xfId="0" applyFont="1" applyBorder="1" applyAlignment="1">
      <alignment vertical="center" wrapText="1"/>
    </xf>
    <xf numFmtId="0" fontId="2" fillId="0" borderId="16" xfId="0" applyFont="1" applyBorder="1" applyAlignment="1">
      <alignment vertical="center" wrapText="1"/>
    </xf>
    <xf numFmtId="0" fontId="0" fillId="0" borderId="15" xfId="0" applyBorder="1" applyAlignment="1">
      <alignment vertical="center" wrapText="1"/>
    </xf>
    <xf numFmtId="0" fontId="3" fillId="0" borderId="15" xfId="0" applyFont="1" applyBorder="1" applyAlignment="1">
      <alignment vertical="center" wrapText="1"/>
    </xf>
    <xf numFmtId="0" fontId="0" fillId="0" borderId="0" xfId="0" applyAlignment="1"/>
    <xf numFmtId="0" fontId="0" fillId="0" borderId="20" xfId="0" applyBorder="1" applyAlignment="1">
      <alignment horizontal="center" vertical="center"/>
    </xf>
    <xf numFmtId="0" fontId="0" fillId="0" borderId="7" xfId="0" applyBorder="1" applyAlignment="1"/>
    <xf numFmtId="0" fontId="0" fillId="0" borderId="8" xfId="0" applyBorder="1" applyAlignment="1"/>
    <xf numFmtId="0" fontId="2" fillId="0" borderId="0" xfId="0" applyFont="1" applyAlignment="1">
      <alignment vertical="top" wrapText="1"/>
    </xf>
    <xf numFmtId="0" fontId="0" fillId="0" borderId="0" xfId="0" applyAlignment="1">
      <alignment vertical="top" wrapText="1"/>
    </xf>
    <xf numFmtId="0" fontId="2" fillId="0" borderId="4" xfId="0" applyFont="1" applyBorder="1" applyAlignment="1">
      <alignment horizontal="center" vertical="center" wrapText="1"/>
    </xf>
    <xf numFmtId="0" fontId="0" fillId="0" borderId="4" xfId="0" applyBorder="1" applyAlignment="1">
      <alignment vertical="center" wrapText="1"/>
    </xf>
    <xf numFmtId="0" fontId="2" fillId="0" borderId="5" xfId="0" applyFont="1" applyBorder="1" applyAlignment="1">
      <alignment vertical="center" wrapText="1"/>
    </xf>
    <xf numFmtId="0" fontId="0" fillId="0" borderId="6" xfId="0" applyBorder="1">
      <alignment vertical="center"/>
    </xf>
    <xf numFmtId="0" fontId="2" fillId="0" borderId="5" xfId="0" applyFont="1" applyBorder="1" applyAlignment="1">
      <alignment wrapText="1"/>
    </xf>
    <xf numFmtId="0" fontId="2" fillId="0" borderId="5" xfId="0" applyFont="1" applyBorder="1" applyAlignment="1">
      <alignment horizontal="left" vertical="top" wrapText="1"/>
    </xf>
    <xf numFmtId="0" fontId="2" fillId="0" borderId="6" xfId="0" applyFont="1" applyBorder="1" applyAlignment="1">
      <alignment vertical="center" wrapText="1"/>
    </xf>
    <xf numFmtId="0" fontId="2" fillId="0" borderId="2" xfId="0" applyFont="1" applyBorder="1" applyAlignment="1">
      <alignment horizontal="center" vertical="center"/>
    </xf>
    <xf numFmtId="0" fontId="0" fillId="0" borderId="18" xfId="0" applyBorder="1" applyAlignment="1"/>
    <xf numFmtId="0" fontId="0" fillId="0" borderId="19" xfId="0" applyBorder="1" applyAlignment="1"/>
    <xf numFmtId="0" fontId="2" fillId="0" borderId="3" xfId="0" applyFont="1" applyBorder="1" applyAlignment="1">
      <alignment horizontal="left" vertical="center" wrapText="1"/>
    </xf>
    <xf numFmtId="0" fontId="0" fillId="0" borderId="5" xfId="0" applyBorder="1" applyAlignment="1"/>
    <xf numFmtId="0" fontId="0" fillId="0" borderId="17" xfId="0" applyBorder="1" applyAlignment="1"/>
    <xf numFmtId="0" fontId="2" fillId="0" borderId="0" xfId="0" applyFont="1" applyAlignment="1">
      <alignment horizontal="center" vertical="center"/>
    </xf>
    <xf numFmtId="0" fontId="2" fillId="0" borderId="6" xfId="0" applyFont="1" applyBorder="1" applyAlignment="1">
      <alignment horizontal="left" vertical="center" wrapText="1"/>
    </xf>
    <xf numFmtId="0" fontId="0" fillId="0" borderId="6" xfId="0" applyBorder="1" applyAlignment="1"/>
    <xf numFmtId="0" fontId="0" fillId="0" borderId="20" xfId="0" applyBorder="1" applyAlignment="1">
      <alignment horizontal="center" vertical="center"/>
    </xf>
    <xf numFmtId="0" fontId="0" fillId="0" borderId="7" xfId="0" applyBorder="1" applyAlignment="1"/>
    <xf numFmtId="0" fontId="0" fillId="0" borderId="8" xfId="0" applyBorder="1" applyAlignment="1"/>
    <xf numFmtId="0" fontId="2" fillId="0" borderId="3" xfId="0" applyFont="1" applyBorder="1" applyAlignment="1">
      <alignment horizontal="center" vertical="center"/>
    </xf>
    <xf numFmtId="0" fontId="0" fillId="0" borderId="0" xfId="0" applyAlignment="1"/>
    <xf numFmtId="0" fontId="2" fillId="0" borderId="21"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2" xfId="0" applyFont="1" applyBorder="1" applyAlignment="1">
      <alignment horizontal="center" vertical="center"/>
    </xf>
    <xf numFmtId="0" fontId="2" fillId="0" borderId="5" xfId="0" applyFont="1" applyBorder="1" applyAlignment="1">
      <alignment horizontal="center" vertical="center"/>
    </xf>
    <xf numFmtId="0" fontId="2" fillId="0" borderId="17" xfId="0" applyFont="1" applyBorder="1" applyAlignment="1">
      <alignment horizontal="center" vertical="center"/>
    </xf>
    <xf numFmtId="0" fontId="2" fillId="0" borderId="22"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0" xfId="1"/>
    <xf numFmtId="0" fontId="2" fillId="0" borderId="0" xfId="1" applyAlignment="1">
      <alignment vertical="center"/>
    </xf>
    <xf numFmtId="0" fontId="2" fillId="0" borderId="0" xfId="1" applyAlignment="1">
      <alignment vertical="center" wrapText="1"/>
    </xf>
    <xf numFmtId="0" fontId="2" fillId="0" borderId="0" xfId="1"/>
    <xf numFmtId="0" fontId="2" fillId="0" borderId="0" xfId="1" applyAlignment="1">
      <alignment horizontal="left" vertical="center" wrapText="1"/>
    </xf>
    <xf numFmtId="0" fontId="2" fillId="0" borderId="0" xfId="2">
      <alignment vertical="center"/>
    </xf>
    <xf numFmtId="0" fontId="2" fillId="0" borderId="0" xfId="2" applyAlignment="1">
      <alignment horizontal="center" vertical="center"/>
    </xf>
    <xf numFmtId="0" fontId="2" fillId="0" borderId="0" xfId="2" applyAlignment="1">
      <alignment horizontal="center" vertical="center"/>
    </xf>
    <xf numFmtId="0" fontId="8" fillId="0" borderId="0" xfId="2" applyFont="1">
      <alignment vertical="center"/>
    </xf>
    <xf numFmtId="0" fontId="2" fillId="0" borderId="0" xfId="2" applyAlignment="1">
      <alignment vertical="center" wrapText="1"/>
    </xf>
    <xf numFmtId="0" fontId="2" fillId="0" borderId="0" xfId="2" applyAlignment="1">
      <alignment horizontal="center" vertical="center" wrapText="1"/>
    </xf>
    <xf numFmtId="0" fontId="9" fillId="0" borderId="1" xfId="2" applyFont="1" applyBorder="1" applyAlignment="1">
      <alignment horizontal="left" vertical="top" wrapText="1"/>
    </xf>
  </cellXfs>
  <cellStyles count="3">
    <cellStyle name="常规" xfId="0" builtinId="0"/>
    <cellStyle name="常规 2" xfId="1" xr:uid="{4EC27F74-C93C-4B6A-A943-69372475D7F3}"/>
    <cellStyle name="常规 3" xfId="2" xr:uid="{A0C6CD13-4AFD-4FB0-9155-F6B6D57E6D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sy\Desktop\&#25968;&#26234;&#21019;&#26032;&#22823;&#36187;\&#39118;&#38505;&#21450;&#25351;&#26631;8-11.xlsx" TargetMode="External"/><Relationship Id="rId1" Type="http://schemas.openxmlformats.org/officeDocument/2006/relationships/externalLinkPath" Target="&#39118;&#38505;&#21450;&#25351;&#26631;8-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008"/>
      <sheetName val="R009"/>
      <sheetName val="R010"/>
      <sheetName val="R011"/>
      <sheetName val="阈值表"/>
    </sheetNames>
    <sheetDataSet>
      <sheetData sheetId="0">
        <row r="1">
          <cell r="B1" t="str">
            <v>R008</v>
          </cell>
        </row>
        <row r="5">
          <cell r="B5" t="str">
            <v>R008-S01</v>
          </cell>
          <cell r="C5" t="str">
            <v>R008-S02</v>
          </cell>
          <cell r="D5" t="str">
            <v>R008-S03</v>
          </cell>
          <cell r="E5" t="str">
            <v>R008-S04</v>
          </cell>
          <cell r="F5" t="str">
            <v>R008-S05</v>
          </cell>
          <cell r="G5" t="str">
            <v>R008-S06</v>
          </cell>
        </row>
        <row r="8">
          <cell r="B8" t="str">
            <v>在建工程增长率=（本期在建工程−上期在建工程​）/上期在建工程</v>
          </cell>
        </row>
        <row r="9">
          <cell r="E9" t="str">
            <v>固定资产增长率-营业收入增长率</v>
          </cell>
        </row>
        <row r="10">
          <cell r="B10" t="str">
            <v>增长偏离度=在建工程增长率−营业收入增长率</v>
          </cell>
          <cell r="C10" t="str">
            <v>投入产出比=在建工程增加额/工程现金支出</v>
          </cell>
        </row>
      </sheetData>
      <sheetData sheetId="1"/>
      <sheetData sheetId="2"/>
      <sheetData sheetId="3"/>
      <sheetData sheetId="4"/>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D38B6-3479-4F98-9C20-4F53BEED54B9}">
  <dimension ref="A1:K32"/>
  <sheetViews>
    <sheetView topLeftCell="D6" workbookViewId="0">
      <selection activeCell="D24" sqref="D24"/>
    </sheetView>
  </sheetViews>
  <sheetFormatPr defaultColWidth="9" defaultRowHeight="13.5" x14ac:dyDescent="0.3"/>
  <cols>
    <col min="1" max="1" width="24.19921875" style="70" customWidth="1"/>
    <col min="2" max="2" width="77" style="70" customWidth="1"/>
    <col min="3" max="3" width="105.19921875" style="70" customWidth="1"/>
    <col min="4" max="4" width="78.19921875" style="70" customWidth="1"/>
    <col min="5" max="5" width="82.59765625" style="70" customWidth="1"/>
    <col min="6" max="6" width="87.19921875" style="70" customWidth="1"/>
    <col min="7" max="7" width="78.19921875" style="70" customWidth="1"/>
    <col min="8" max="8" width="129.9296875" style="70" customWidth="1"/>
    <col min="9" max="9" width="100.59765625" style="70" customWidth="1"/>
    <col min="10" max="10" width="96.19921875" style="70" customWidth="1"/>
    <col min="11" max="16384" width="9" style="70"/>
  </cols>
  <sheetData>
    <row r="1" spans="1:10" x14ac:dyDescent="0.3">
      <c r="A1" s="70" t="s">
        <v>0</v>
      </c>
      <c r="B1" s="72" t="s">
        <v>944</v>
      </c>
      <c r="C1" s="72"/>
      <c r="D1" s="72"/>
      <c r="E1" s="72"/>
      <c r="F1" s="72"/>
      <c r="G1" s="72"/>
      <c r="H1" s="72"/>
      <c r="I1" s="72"/>
      <c r="J1" s="72"/>
    </row>
    <row r="2" spans="1:10" x14ac:dyDescent="0.3">
      <c r="A2" s="70" t="s">
        <v>2</v>
      </c>
      <c r="B2" s="72" t="s">
        <v>943</v>
      </c>
      <c r="C2" s="72"/>
      <c r="D2" s="72"/>
      <c r="E2" s="72"/>
      <c r="F2" s="72"/>
      <c r="G2" s="72"/>
      <c r="H2" s="72"/>
      <c r="I2" s="72"/>
      <c r="J2" s="72"/>
    </row>
    <row r="3" spans="1:10" x14ac:dyDescent="0.3">
      <c r="A3" s="70" t="s">
        <v>4</v>
      </c>
      <c r="B3" s="72" t="s">
        <v>5</v>
      </c>
      <c r="C3" s="72"/>
      <c r="D3" s="72"/>
      <c r="E3" s="72"/>
      <c r="F3" s="72"/>
      <c r="G3" s="72"/>
      <c r="H3" s="72"/>
      <c r="I3" s="72"/>
      <c r="J3" s="72"/>
    </row>
    <row r="4" spans="1:10" ht="30" customHeight="1" x14ac:dyDescent="0.3">
      <c r="A4" s="70" t="s">
        <v>6</v>
      </c>
      <c r="B4" s="72" t="s">
        <v>942</v>
      </c>
      <c r="C4" s="72"/>
      <c r="D4" s="72"/>
      <c r="E4" s="72"/>
      <c r="F4" s="72"/>
      <c r="G4" s="72"/>
      <c r="H4" s="72"/>
      <c r="I4" s="72"/>
      <c r="J4" s="72"/>
    </row>
    <row r="5" spans="1:10" x14ac:dyDescent="0.3">
      <c r="A5" s="70" t="s">
        <v>8</v>
      </c>
      <c r="B5" s="70" t="s">
        <v>941</v>
      </c>
      <c r="C5" s="70" t="s">
        <v>940</v>
      </c>
      <c r="D5" s="70" t="s">
        <v>939</v>
      </c>
      <c r="E5" s="70" t="s">
        <v>938</v>
      </c>
      <c r="F5" s="70" t="s">
        <v>937</v>
      </c>
      <c r="G5" s="70" t="s">
        <v>936</v>
      </c>
      <c r="H5" s="70" t="s">
        <v>935</v>
      </c>
      <c r="I5" s="70" t="s">
        <v>934</v>
      </c>
      <c r="J5" s="70" t="s">
        <v>933</v>
      </c>
    </row>
    <row r="6" spans="1:10" x14ac:dyDescent="0.3">
      <c r="A6" s="70" t="s">
        <v>15</v>
      </c>
      <c r="B6" s="70" t="s">
        <v>932</v>
      </c>
      <c r="C6" s="70" t="s">
        <v>931</v>
      </c>
      <c r="D6" s="70" t="s">
        <v>930</v>
      </c>
      <c r="E6" s="70" t="s">
        <v>929</v>
      </c>
      <c r="F6" s="70" t="s">
        <v>928</v>
      </c>
      <c r="G6" s="70" t="s">
        <v>927</v>
      </c>
      <c r="H6" s="70" t="s">
        <v>926</v>
      </c>
      <c r="I6" s="70" t="s">
        <v>925</v>
      </c>
      <c r="J6" s="70" t="s">
        <v>924</v>
      </c>
    </row>
    <row r="7" spans="1:10" x14ac:dyDescent="0.3">
      <c r="A7" s="70" t="s">
        <v>22</v>
      </c>
      <c r="B7" s="70" t="s">
        <v>23</v>
      </c>
      <c r="C7" s="70" t="s">
        <v>23</v>
      </c>
      <c r="D7" s="70" t="s">
        <v>23</v>
      </c>
      <c r="E7" s="70" t="s">
        <v>23</v>
      </c>
      <c r="F7" s="70" t="s">
        <v>23</v>
      </c>
      <c r="G7" s="70" t="s">
        <v>23</v>
      </c>
      <c r="H7" s="70" t="s">
        <v>23</v>
      </c>
      <c r="I7" s="70" t="s">
        <v>923</v>
      </c>
      <c r="J7" s="70" t="s">
        <v>23</v>
      </c>
    </row>
    <row r="8" spans="1:10" x14ac:dyDescent="0.3">
      <c r="A8" s="72" t="s">
        <v>24</v>
      </c>
      <c r="B8" s="70" t="s">
        <v>922</v>
      </c>
      <c r="C8" s="70" t="s">
        <v>921</v>
      </c>
      <c r="D8" s="70" t="s">
        <v>920</v>
      </c>
      <c r="E8" s="70" t="s">
        <v>913</v>
      </c>
      <c r="F8" s="70" t="s">
        <v>919</v>
      </c>
      <c r="G8" s="70" t="s">
        <v>918</v>
      </c>
      <c r="H8" s="70" t="s">
        <v>917</v>
      </c>
      <c r="I8" s="70" t="s">
        <v>916</v>
      </c>
      <c r="J8" s="70" t="s">
        <v>915</v>
      </c>
    </row>
    <row r="9" spans="1:10" x14ac:dyDescent="0.3">
      <c r="A9" s="72"/>
      <c r="B9" s="70" t="s">
        <v>914</v>
      </c>
      <c r="C9" s="70" t="s">
        <v>913</v>
      </c>
      <c r="D9" s="70" t="s">
        <v>912</v>
      </c>
      <c r="E9" s="70" t="s">
        <v>911</v>
      </c>
      <c r="F9" s="70" t="s">
        <v>910</v>
      </c>
      <c r="G9" s="70" t="s">
        <v>909</v>
      </c>
      <c r="H9" s="70" t="s">
        <v>908</v>
      </c>
      <c r="I9" s="70" t="s">
        <v>907</v>
      </c>
      <c r="J9" s="70" t="s">
        <v>906</v>
      </c>
    </row>
    <row r="10" spans="1:10" x14ac:dyDescent="0.3">
      <c r="A10" s="72"/>
      <c r="B10" s="70" t="s">
        <v>905</v>
      </c>
      <c r="C10" s="70" t="s">
        <v>904</v>
      </c>
      <c r="D10" s="70" t="s">
        <v>903</v>
      </c>
      <c r="E10" s="70" t="s">
        <v>902</v>
      </c>
      <c r="F10" s="70" t="s">
        <v>901</v>
      </c>
      <c r="G10" s="70" t="s">
        <v>900</v>
      </c>
      <c r="H10" s="70" t="s">
        <v>899</v>
      </c>
      <c r="I10" s="70" t="s">
        <v>898</v>
      </c>
      <c r="J10" s="70" t="s">
        <v>897</v>
      </c>
    </row>
    <row r="11" spans="1:10" x14ac:dyDescent="0.3">
      <c r="A11" s="72"/>
      <c r="C11" s="70" t="s">
        <v>896</v>
      </c>
      <c r="D11" s="70" t="s">
        <v>895</v>
      </c>
      <c r="E11" s="70" t="s">
        <v>894</v>
      </c>
      <c r="F11" s="70" t="s">
        <v>893</v>
      </c>
      <c r="G11" s="70" t="s">
        <v>892</v>
      </c>
      <c r="H11" s="70" t="s">
        <v>891</v>
      </c>
      <c r="I11" s="70" t="s">
        <v>890</v>
      </c>
      <c r="J11" s="70" t="s">
        <v>889</v>
      </c>
    </row>
    <row r="12" spans="1:10" x14ac:dyDescent="0.3">
      <c r="A12" s="72"/>
      <c r="C12" s="70" t="s">
        <v>888</v>
      </c>
      <c r="D12" s="70" t="s">
        <v>887</v>
      </c>
      <c r="E12" s="70" t="s">
        <v>886</v>
      </c>
      <c r="F12" s="70" t="s">
        <v>885</v>
      </c>
      <c r="G12" s="70" t="s">
        <v>884</v>
      </c>
      <c r="H12" s="70" t="s">
        <v>883</v>
      </c>
      <c r="I12" s="70" t="s">
        <v>882</v>
      </c>
      <c r="J12" s="70" t="s">
        <v>881</v>
      </c>
    </row>
    <row r="13" spans="1:10" x14ac:dyDescent="0.3">
      <c r="A13" s="72"/>
      <c r="C13" s="70" t="s">
        <v>880</v>
      </c>
      <c r="D13" s="70" t="s">
        <v>879</v>
      </c>
      <c r="E13" s="70" t="s">
        <v>878</v>
      </c>
      <c r="F13" s="70" t="s">
        <v>877</v>
      </c>
      <c r="G13" s="70" t="s">
        <v>876</v>
      </c>
      <c r="H13" s="70" t="s">
        <v>875</v>
      </c>
      <c r="I13" s="70" t="s">
        <v>874</v>
      </c>
      <c r="J13" s="70" t="s">
        <v>873</v>
      </c>
    </row>
    <row r="14" spans="1:10" x14ac:dyDescent="0.3">
      <c r="A14" s="72"/>
      <c r="C14" s="70" t="s">
        <v>872</v>
      </c>
      <c r="D14" s="70" t="s">
        <v>871</v>
      </c>
      <c r="E14" s="70" t="s">
        <v>870</v>
      </c>
      <c r="F14" s="70" t="s">
        <v>869</v>
      </c>
      <c r="G14" s="70" t="s">
        <v>868</v>
      </c>
      <c r="H14" s="70" t="s">
        <v>867</v>
      </c>
      <c r="I14" s="70" t="s">
        <v>866</v>
      </c>
      <c r="J14" s="70" t="s">
        <v>865</v>
      </c>
    </row>
    <row r="15" spans="1:10" x14ac:dyDescent="0.3">
      <c r="A15" s="72"/>
      <c r="C15" s="70" t="s">
        <v>864</v>
      </c>
      <c r="F15" s="70" t="s">
        <v>863</v>
      </c>
    </row>
    <row r="16" spans="1:10" x14ac:dyDescent="0.3">
      <c r="A16" s="72"/>
    </row>
    <row r="17" spans="1:11" x14ac:dyDescent="0.3">
      <c r="A17" s="72"/>
    </row>
    <row r="18" spans="1:11" x14ac:dyDescent="0.3">
      <c r="A18" s="72"/>
    </row>
    <row r="19" spans="1:11" x14ac:dyDescent="0.3">
      <c r="A19" s="70" t="s">
        <v>41</v>
      </c>
      <c r="B19" s="70" t="s">
        <v>862</v>
      </c>
      <c r="C19" s="70" t="s">
        <v>859</v>
      </c>
      <c r="D19" s="70" t="s">
        <v>861</v>
      </c>
      <c r="E19" s="70" t="s">
        <v>860</v>
      </c>
      <c r="F19" s="70" t="s">
        <v>859</v>
      </c>
      <c r="G19" s="70" t="s">
        <v>858</v>
      </c>
      <c r="H19" s="70" t="s">
        <v>857</v>
      </c>
      <c r="I19" s="70" t="s">
        <v>856</v>
      </c>
      <c r="J19" s="70" t="s">
        <v>855</v>
      </c>
    </row>
    <row r="20" spans="1:11" x14ac:dyDescent="0.3">
      <c r="A20" s="72" t="s">
        <v>47</v>
      </c>
      <c r="B20" s="70" t="s">
        <v>854</v>
      </c>
      <c r="C20" s="70" t="s">
        <v>853</v>
      </c>
      <c r="D20" s="70" t="s">
        <v>852</v>
      </c>
      <c r="E20" s="70" t="s">
        <v>845</v>
      </c>
      <c r="F20" s="70" t="s">
        <v>851</v>
      </c>
      <c r="G20" s="70" t="s">
        <v>850</v>
      </c>
      <c r="H20" s="70" t="s">
        <v>849</v>
      </c>
      <c r="I20" s="70" t="s">
        <v>848</v>
      </c>
      <c r="J20" s="70" t="s">
        <v>847</v>
      </c>
    </row>
    <row r="21" spans="1:11" x14ac:dyDescent="0.3">
      <c r="A21" s="72"/>
      <c r="B21" s="70" t="s">
        <v>846</v>
      </c>
      <c r="C21" s="70" t="s">
        <v>845</v>
      </c>
      <c r="D21" s="70" t="s">
        <v>844</v>
      </c>
      <c r="E21" s="70" t="s">
        <v>843</v>
      </c>
      <c r="F21" s="70" t="s">
        <v>842</v>
      </c>
      <c r="G21" s="70" t="s">
        <v>841</v>
      </c>
      <c r="H21" s="70" t="s">
        <v>840</v>
      </c>
      <c r="I21" s="70" t="s">
        <v>839</v>
      </c>
      <c r="J21" s="70" t="s">
        <v>838</v>
      </c>
    </row>
    <row r="22" spans="1:11" x14ac:dyDescent="0.3">
      <c r="A22" s="72"/>
      <c r="B22" s="70" t="s">
        <v>837</v>
      </c>
      <c r="C22" s="70" t="s">
        <v>836</v>
      </c>
      <c r="D22" s="70" t="s">
        <v>835</v>
      </c>
      <c r="E22" s="70" t="s">
        <v>834</v>
      </c>
      <c r="F22" s="70" t="s">
        <v>833</v>
      </c>
      <c r="G22" s="70" t="s">
        <v>832</v>
      </c>
      <c r="H22" s="70" t="s">
        <v>831</v>
      </c>
      <c r="I22" s="70" t="s">
        <v>830</v>
      </c>
      <c r="J22" s="70" t="s">
        <v>829</v>
      </c>
    </row>
    <row r="23" spans="1:11" x14ac:dyDescent="0.3">
      <c r="A23" s="72"/>
      <c r="C23" s="70" t="s">
        <v>828</v>
      </c>
      <c r="D23" s="70" t="s">
        <v>827</v>
      </c>
      <c r="E23" s="70" t="s">
        <v>826</v>
      </c>
      <c r="F23" s="70" t="s">
        <v>825</v>
      </c>
      <c r="G23" s="70" t="s">
        <v>824</v>
      </c>
      <c r="H23" s="70" t="s">
        <v>823</v>
      </c>
      <c r="I23" s="70" t="s">
        <v>822</v>
      </c>
      <c r="J23" s="70" t="s">
        <v>821</v>
      </c>
    </row>
    <row r="24" spans="1:11" x14ac:dyDescent="0.3">
      <c r="A24" s="72"/>
      <c r="C24" s="70" t="s">
        <v>820</v>
      </c>
      <c r="D24" s="70" t="s">
        <v>819</v>
      </c>
      <c r="E24" s="70" t="s">
        <v>818</v>
      </c>
      <c r="F24" s="70" t="s">
        <v>817</v>
      </c>
      <c r="G24" s="70" t="s">
        <v>816</v>
      </c>
      <c r="H24" s="70" t="s">
        <v>815</v>
      </c>
      <c r="I24" s="70" t="s">
        <v>814</v>
      </c>
      <c r="J24" s="70" t="s">
        <v>813</v>
      </c>
    </row>
    <row r="25" spans="1:11" x14ac:dyDescent="0.3">
      <c r="A25" s="72"/>
      <c r="C25" s="70" t="s">
        <v>812</v>
      </c>
      <c r="D25" s="70" t="s">
        <v>811</v>
      </c>
      <c r="E25" s="70" t="s">
        <v>810</v>
      </c>
      <c r="F25" s="70" t="s">
        <v>809</v>
      </c>
      <c r="G25" s="70" t="s">
        <v>808</v>
      </c>
      <c r="H25" s="70" t="s">
        <v>807</v>
      </c>
      <c r="I25" s="70" t="s">
        <v>806</v>
      </c>
      <c r="J25" s="70" t="s">
        <v>805</v>
      </c>
    </row>
    <row r="26" spans="1:11" x14ac:dyDescent="0.3">
      <c r="A26" s="72"/>
      <c r="C26" s="70" t="s">
        <v>804</v>
      </c>
      <c r="D26" s="70" t="s">
        <v>803</v>
      </c>
      <c r="E26" s="70" t="s">
        <v>802</v>
      </c>
      <c r="F26" s="70" t="s">
        <v>801</v>
      </c>
      <c r="G26" s="70" t="s">
        <v>800</v>
      </c>
      <c r="H26" s="70" t="s">
        <v>799</v>
      </c>
      <c r="I26" s="70" t="s">
        <v>798</v>
      </c>
      <c r="J26" s="70" t="s">
        <v>797</v>
      </c>
    </row>
    <row r="27" spans="1:11" x14ac:dyDescent="0.3">
      <c r="A27" s="72"/>
      <c r="C27" s="70" t="s">
        <v>796</v>
      </c>
      <c r="F27" s="70" t="s">
        <v>795</v>
      </c>
    </row>
    <row r="28" spans="1:11" x14ac:dyDescent="0.3">
      <c r="A28" s="72"/>
    </row>
    <row r="29" spans="1:11" x14ac:dyDescent="0.3">
      <c r="A29" s="72"/>
    </row>
    <row r="30" spans="1:11" x14ac:dyDescent="0.3">
      <c r="A30" s="72"/>
    </row>
    <row r="31" spans="1:11" ht="102" customHeight="1" x14ac:dyDescent="0.3">
      <c r="A31" s="70" t="s">
        <v>48</v>
      </c>
      <c r="B31" s="74" t="s">
        <v>794</v>
      </c>
      <c r="C31" s="74" t="s">
        <v>793</v>
      </c>
      <c r="D31" s="74" t="s">
        <v>792</v>
      </c>
      <c r="E31" s="74" t="s">
        <v>791</v>
      </c>
      <c r="F31" s="74" t="s">
        <v>790</v>
      </c>
      <c r="G31" s="74" t="s">
        <v>789</v>
      </c>
      <c r="H31" s="74" t="s">
        <v>788</v>
      </c>
      <c r="I31" s="74" t="s">
        <v>787</v>
      </c>
      <c r="J31" s="74" t="s">
        <v>786</v>
      </c>
      <c r="K31" s="74"/>
    </row>
    <row r="32" spans="1:11" x14ac:dyDescent="0.3">
      <c r="A32" s="70" t="s">
        <v>54</v>
      </c>
    </row>
  </sheetData>
  <mergeCells count="6">
    <mergeCell ref="A20:A30"/>
    <mergeCell ref="B1:J1"/>
    <mergeCell ref="B2:J2"/>
    <mergeCell ref="B3:J3"/>
    <mergeCell ref="B4:J4"/>
    <mergeCell ref="A8:A18"/>
  </mergeCells>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90370-DE82-49CC-91BD-30CF6C928565}">
  <dimension ref="A1:K34"/>
  <sheetViews>
    <sheetView tabSelected="1" topLeftCell="D15" zoomScale="90" zoomScaleNormal="90" workbookViewId="0">
      <selection activeCell="B24" sqref="B24"/>
    </sheetView>
  </sheetViews>
  <sheetFormatPr defaultColWidth="9" defaultRowHeight="13.5" x14ac:dyDescent="0.3"/>
  <cols>
    <col min="1" max="1" width="24.19921875" style="70" customWidth="1"/>
    <col min="2" max="2" width="77" style="70" customWidth="1"/>
    <col min="3" max="3" width="105.19921875" style="70" customWidth="1"/>
    <col min="4" max="4" width="78.19921875" style="70" customWidth="1"/>
    <col min="5" max="5" width="82.59765625" style="70" customWidth="1"/>
    <col min="6" max="6" width="87.19921875" style="70" customWidth="1"/>
    <col min="7" max="7" width="78.19921875" style="70" customWidth="1"/>
    <col min="8" max="8" width="129.9296875" style="70" customWidth="1"/>
    <col min="9" max="9" width="100.59765625" style="70" customWidth="1"/>
    <col min="10" max="10" width="96.19921875" style="70" customWidth="1"/>
    <col min="11" max="16384" width="9" style="70"/>
  </cols>
  <sheetData>
    <row r="1" spans="1:10" x14ac:dyDescent="0.3">
      <c r="A1" s="70" t="s">
        <v>0</v>
      </c>
      <c r="B1" s="72" t="s">
        <v>944</v>
      </c>
      <c r="C1" s="72"/>
      <c r="D1" s="72"/>
      <c r="E1" s="72"/>
      <c r="F1" s="72"/>
      <c r="G1" s="72"/>
      <c r="H1" s="72"/>
      <c r="I1" s="72"/>
      <c r="J1" s="72"/>
    </row>
    <row r="2" spans="1:10" x14ac:dyDescent="0.3">
      <c r="A2" s="70" t="s">
        <v>2</v>
      </c>
      <c r="B2" s="72" t="s">
        <v>1092</v>
      </c>
      <c r="C2" s="72"/>
      <c r="D2" s="72"/>
      <c r="E2" s="72"/>
      <c r="F2" s="72"/>
      <c r="G2" s="72"/>
      <c r="H2" s="72"/>
      <c r="I2" s="72"/>
      <c r="J2" s="72"/>
    </row>
    <row r="3" spans="1:10" x14ac:dyDescent="0.3">
      <c r="A3" s="70" t="s">
        <v>4</v>
      </c>
      <c r="B3" s="72" t="s">
        <v>5</v>
      </c>
      <c r="C3" s="72"/>
      <c r="D3" s="72"/>
      <c r="E3" s="72"/>
      <c r="F3" s="72"/>
      <c r="G3" s="72"/>
      <c r="H3" s="72"/>
      <c r="I3" s="72"/>
      <c r="J3" s="72"/>
    </row>
    <row r="4" spans="1:10" ht="30" customHeight="1" x14ac:dyDescent="0.3">
      <c r="A4" s="70" t="s">
        <v>6</v>
      </c>
      <c r="B4" s="72" t="s">
        <v>1091</v>
      </c>
      <c r="C4" s="72"/>
      <c r="D4" s="72"/>
      <c r="E4" s="72"/>
      <c r="F4" s="72"/>
      <c r="G4" s="72"/>
      <c r="H4" s="72"/>
      <c r="I4" s="72"/>
      <c r="J4" s="72"/>
    </row>
    <row r="5" spans="1:10" x14ac:dyDescent="0.3">
      <c r="A5" s="70" t="s">
        <v>8</v>
      </c>
      <c r="B5" s="70" t="s">
        <v>1090</v>
      </c>
      <c r="C5" s="70" t="s">
        <v>1089</v>
      </c>
      <c r="D5" s="70" t="s">
        <v>1088</v>
      </c>
      <c r="E5" s="70" t="s">
        <v>1087</v>
      </c>
      <c r="F5" s="70" t="s">
        <v>1086</v>
      </c>
      <c r="G5" s="70" t="s">
        <v>1085</v>
      </c>
      <c r="H5" s="70" t="s">
        <v>1084</v>
      </c>
      <c r="I5" s="70" t="s">
        <v>1083</v>
      </c>
      <c r="J5" s="70" t="s">
        <v>1082</v>
      </c>
    </row>
    <row r="6" spans="1:10" x14ac:dyDescent="0.3">
      <c r="A6" s="70" t="s">
        <v>15</v>
      </c>
      <c r="B6" s="70" t="s">
        <v>925</v>
      </c>
      <c r="C6" s="70" t="s">
        <v>1081</v>
      </c>
      <c r="D6" s="70" t="s">
        <v>1080</v>
      </c>
      <c r="E6" s="70" t="s">
        <v>1079</v>
      </c>
      <c r="F6" s="70" t="s">
        <v>1078</v>
      </c>
      <c r="G6" s="70" t="s">
        <v>1077</v>
      </c>
      <c r="H6" s="70" t="s">
        <v>1076</v>
      </c>
      <c r="I6" s="70" t="s">
        <v>1075</v>
      </c>
      <c r="J6" s="70" t="s">
        <v>1074</v>
      </c>
    </row>
    <row r="7" spans="1:10" x14ac:dyDescent="0.3">
      <c r="A7" s="70" t="s">
        <v>22</v>
      </c>
      <c r="B7" s="70" t="s">
        <v>23</v>
      </c>
      <c r="C7" s="70" t="s">
        <v>23</v>
      </c>
      <c r="D7" s="70" t="s">
        <v>23</v>
      </c>
      <c r="E7" s="70" t="s">
        <v>23</v>
      </c>
      <c r="F7" s="70" t="s">
        <v>23</v>
      </c>
      <c r="G7" s="70" t="s">
        <v>23</v>
      </c>
      <c r="H7" s="70" t="s">
        <v>1073</v>
      </c>
      <c r="I7" s="70" t="s">
        <v>23</v>
      </c>
      <c r="J7" s="70" t="s">
        <v>23</v>
      </c>
    </row>
    <row r="8" spans="1:10" x14ac:dyDescent="0.3">
      <c r="A8" s="72" t="s">
        <v>24</v>
      </c>
      <c r="B8" s="70" t="s">
        <v>1072</v>
      </c>
      <c r="C8" s="70" t="s">
        <v>1071</v>
      </c>
      <c r="D8" s="70" t="s">
        <v>1070</v>
      </c>
      <c r="E8" s="70" t="s">
        <v>1069</v>
      </c>
      <c r="F8" s="70" t="s">
        <v>1068</v>
      </c>
      <c r="G8" s="70" t="s">
        <v>1067</v>
      </c>
      <c r="H8" s="70" t="s">
        <v>1066</v>
      </c>
      <c r="I8" s="70" t="s">
        <v>1065</v>
      </c>
      <c r="J8" s="70" t="s">
        <v>1064</v>
      </c>
    </row>
    <row r="9" spans="1:10" x14ac:dyDescent="0.3">
      <c r="A9" s="72"/>
      <c r="B9" s="70" t="s">
        <v>1063</v>
      </c>
      <c r="C9" s="70" t="s">
        <v>1062</v>
      </c>
      <c r="D9" s="70" t="s">
        <v>1061</v>
      </c>
      <c r="E9" s="70" t="s">
        <v>1060</v>
      </c>
      <c r="F9" s="70" t="s">
        <v>1059</v>
      </c>
      <c r="G9" s="70" t="s">
        <v>1058</v>
      </c>
      <c r="H9" s="70" t="s">
        <v>1057</v>
      </c>
      <c r="I9" s="70" t="s">
        <v>1056</v>
      </c>
      <c r="J9" s="70" t="s">
        <v>1055</v>
      </c>
    </row>
    <row r="10" spans="1:10" x14ac:dyDescent="0.3">
      <c r="A10" s="72"/>
      <c r="B10" s="70" t="s">
        <v>1054</v>
      </c>
      <c r="C10" s="70" t="s">
        <v>904</v>
      </c>
      <c r="D10" s="70" t="s">
        <v>1053</v>
      </c>
      <c r="E10" s="70" t="s">
        <v>1052</v>
      </c>
      <c r="F10" s="70" t="s">
        <v>1051</v>
      </c>
      <c r="G10" s="70" t="s">
        <v>1050</v>
      </c>
      <c r="H10" s="70" t="s">
        <v>1049</v>
      </c>
      <c r="I10" s="70" t="s">
        <v>1048</v>
      </c>
      <c r="J10" s="70" t="s">
        <v>1047</v>
      </c>
    </row>
    <row r="11" spans="1:10" x14ac:dyDescent="0.3">
      <c r="A11" s="72"/>
      <c r="B11" s="70" t="s">
        <v>1046</v>
      </c>
      <c r="C11" s="70" t="s">
        <v>896</v>
      </c>
      <c r="D11" s="70" t="s">
        <v>1045</v>
      </c>
      <c r="E11" s="70" t="s">
        <v>1044</v>
      </c>
      <c r="F11" s="70" t="s">
        <v>1043</v>
      </c>
      <c r="G11" s="70" t="s">
        <v>1042</v>
      </c>
      <c r="H11" s="70" t="s">
        <v>1041</v>
      </c>
      <c r="I11" s="70" t="s">
        <v>1040</v>
      </c>
      <c r="J11" s="70" t="s">
        <v>1031</v>
      </c>
    </row>
    <row r="12" spans="1:10" x14ac:dyDescent="0.3">
      <c r="A12" s="72"/>
      <c r="B12" s="70" t="s">
        <v>1039</v>
      </c>
      <c r="C12" s="70" t="s">
        <v>1038</v>
      </c>
      <c r="D12" s="70" t="s">
        <v>1037</v>
      </c>
      <c r="E12" s="70" t="s">
        <v>1036</v>
      </c>
      <c r="G12" s="70" t="s">
        <v>1035</v>
      </c>
      <c r="H12" s="70" t="s">
        <v>1034</v>
      </c>
      <c r="I12" s="70" t="s">
        <v>1033</v>
      </c>
      <c r="J12" s="70" t="s">
        <v>1032</v>
      </c>
    </row>
    <row r="13" spans="1:10" x14ac:dyDescent="0.3">
      <c r="A13" s="72"/>
      <c r="C13" s="70" t="s">
        <v>1031</v>
      </c>
      <c r="D13" s="70" t="s">
        <v>1030</v>
      </c>
      <c r="E13" s="70" t="s">
        <v>1029</v>
      </c>
      <c r="I13" s="70" t="s">
        <v>1028</v>
      </c>
      <c r="J13" s="70" t="s">
        <v>1027</v>
      </c>
    </row>
    <row r="14" spans="1:10" x14ac:dyDescent="0.3">
      <c r="A14" s="72"/>
      <c r="C14" s="70" t="s">
        <v>880</v>
      </c>
      <c r="D14" s="70" t="s">
        <v>910</v>
      </c>
      <c r="I14" s="70" t="s">
        <v>1026</v>
      </c>
      <c r="J14" s="70" t="s">
        <v>1025</v>
      </c>
    </row>
    <row r="15" spans="1:10" x14ac:dyDescent="0.3">
      <c r="A15" s="72"/>
      <c r="C15" s="70" t="s">
        <v>872</v>
      </c>
      <c r="D15" s="70" t="s">
        <v>901</v>
      </c>
      <c r="E15" s="70" t="s">
        <v>1024</v>
      </c>
      <c r="I15" s="70" t="s">
        <v>1023</v>
      </c>
      <c r="J15" s="70" t="s">
        <v>1022</v>
      </c>
    </row>
    <row r="16" spans="1:10" x14ac:dyDescent="0.3">
      <c r="A16" s="72"/>
      <c r="C16" s="70" t="s">
        <v>1021</v>
      </c>
      <c r="D16" s="70" t="s">
        <v>1020</v>
      </c>
      <c r="I16" s="70" t="s">
        <v>1019</v>
      </c>
    </row>
    <row r="17" spans="1:10" x14ac:dyDescent="0.3">
      <c r="A17" s="72"/>
      <c r="C17" s="70" t="s">
        <v>1018</v>
      </c>
      <c r="I17" s="70" t="s">
        <v>1017</v>
      </c>
    </row>
    <row r="18" spans="1:10" x14ac:dyDescent="0.3">
      <c r="A18" s="72"/>
      <c r="I18" s="70" t="s">
        <v>1016</v>
      </c>
    </row>
    <row r="19" spans="1:10" x14ac:dyDescent="0.3">
      <c r="A19" s="72"/>
      <c r="I19" s="70" t="s">
        <v>1015</v>
      </c>
    </row>
    <row r="20" spans="1:10" x14ac:dyDescent="0.3">
      <c r="A20" s="70" t="s">
        <v>41</v>
      </c>
      <c r="B20" s="70" t="s">
        <v>1014</v>
      </c>
      <c r="C20" s="70" t="s">
        <v>859</v>
      </c>
      <c r="D20" s="70" t="s">
        <v>859</v>
      </c>
      <c r="E20" s="70" t="s">
        <v>859</v>
      </c>
      <c r="F20" s="70" t="s">
        <v>1013</v>
      </c>
      <c r="G20" s="70" t="s">
        <v>1012</v>
      </c>
      <c r="H20" s="70" t="s">
        <v>1011</v>
      </c>
      <c r="I20" s="70" t="s">
        <v>1010</v>
      </c>
      <c r="J20" s="70" t="s">
        <v>1009</v>
      </c>
    </row>
    <row r="21" spans="1:10" x14ac:dyDescent="0.3">
      <c r="A21" s="72" t="s">
        <v>47</v>
      </c>
      <c r="B21" s="70" t="s">
        <v>1008</v>
      </c>
      <c r="C21" s="70" t="s">
        <v>1007</v>
      </c>
      <c r="D21" s="70" t="s">
        <v>825</v>
      </c>
      <c r="E21" s="70" t="s">
        <v>1006</v>
      </c>
      <c r="F21" s="70" t="s">
        <v>854</v>
      </c>
      <c r="G21" s="70" t="s">
        <v>1005</v>
      </c>
      <c r="H21" s="70" t="s">
        <v>1004</v>
      </c>
      <c r="I21" s="70" t="s">
        <v>1003</v>
      </c>
      <c r="J21" s="70" t="s">
        <v>1002</v>
      </c>
    </row>
    <row r="22" spans="1:10" x14ac:dyDescent="0.3">
      <c r="A22" s="72"/>
      <c r="B22" s="70" t="s">
        <v>1001</v>
      </c>
      <c r="C22" s="70" t="s">
        <v>845</v>
      </c>
      <c r="D22" s="70" t="s">
        <v>1000</v>
      </c>
      <c r="E22" s="70" t="s">
        <v>999</v>
      </c>
      <c r="F22" s="70" t="s">
        <v>998</v>
      </c>
      <c r="G22" s="70" t="s">
        <v>997</v>
      </c>
      <c r="H22" s="70" t="s">
        <v>996</v>
      </c>
      <c r="I22" s="70" t="s">
        <v>995</v>
      </c>
      <c r="J22" s="70" t="s">
        <v>994</v>
      </c>
    </row>
    <row r="23" spans="1:10" x14ac:dyDescent="0.3">
      <c r="A23" s="72"/>
      <c r="B23" s="70" t="s">
        <v>993</v>
      </c>
      <c r="C23" s="70" t="s">
        <v>836</v>
      </c>
      <c r="D23" s="70" t="s">
        <v>992</v>
      </c>
      <c r="E23" s="70" t="s">
        <v>991</v>
      </c>
      <c r="F23" s="70" t="s">
        <v>990</v>
      </c>
      <c r="G23" s="70" t="s">
        <v>989</v>
      </c>
      <c r="H23" s="70" t="s">
        <v>988</v>
      </c>
      <c r="I23" s="70" t="s">
        <v>987</v>
      </c>
      <c r="J23" s="70" t="s">
        <v>986</v>
      </c>
    </row>
    <row r="24" spans="1:10" x14ac:dyDescent="0.3">
      <c r="A24" s="72"/>
      <c r="B24" s="70" t="s">
        <v>985</v>
      </c>
      <c r="C24" s="70" t="s">
        <v>828</v>
      </c>
      <c r="D24" s="70" t="s">
        <v>984</v>
      </c>
      <c r="E24" s="70" t="s">
        <v>983</v>
      </c>
      <c r="F24" s="70" t="s">
        <v>982</v>
      </c>
      <c r="G24" s="70" t="s">
        <v>981</v>
      </c>
      <c r="H24" s="70" t="s">
        <v>980</v>
      </c>
      <c r="I24" s="70" t="s">
        <v>979</v>
      </c>
      <c r="J24" s="70" t="s">
        <v>820</v>
      </c>
    </row>
    <row r="25" spans="1:10" x14ac:dyDescent="0.3">
      <c r="A25" s="72"/>
      <c r="B25" s="70" t="s">
        <v>978</v>
      </c>
      <c r="C25" s="70" t="s">
        <v>977</v>
      </c>
      <c r="D25" s="70" t="s">
        <v>976</v>
      </c>
      <c r="E25" s="70" t="s">
        <v>975</v>
      </c>
      <c r="G25" s="70" t="s">
        <v>974</v>
      </c>
      <c r="H25" s="70" t="s">
        <v>973</v>
      </c>
      <c r="I25" s="70" t="s">
        <v>972</v>
      </c>
      <c r="J25" s="70" t="s">
        <v>971</v>
      </c>
    </row>
    <row r="26" spans="1:10" x14ac:dyDescent="0.3">
      <c r="A26" s="72"/>
      <c r="C26" s="70" t="s">
        <v>820</v>
      </c>
      <c r="D26" s="70" t="s">
        <v>851</v>
      </c>
      <c r="E26" s="70" t="s">
        <v>970</v>
      </c>
      <c r="I26" s="70" t="s">
        <v>969</v>
      </c>
      <c r="J26" s="70" t="s">
        <v>968</v>
      </c>
    </row>
    <row r="27" spans="1:10" x14ac:dyDescent="0.3">
      <c r="A27" s="72"/>
      <c r="C27" s="70" t="s">
        <v>967</v>
      </c>
      <c r="D27" s="70" t="s">
        <v>966</v>
      </c>
      <c r="I27" s="70" t="s">
        <v>965</v>
      </c>
      <c r="J27" s="70" t="s">
        <v>964</v>
      </c>
    </row>
    <row r="28" spans="1:10" x14ac:dyDescent="0.3">
      <c r="A28" s="72"/>
      <c r="C28" s="70" t="s">
        <v>963</v>
      </c>
      <c r="D28" s="70" t="s">
        <v>962</v>
      </c>
      <c r="I28" s="70" t="s">
        <v>961</v>
      </c>
      <c r="J28" s="70" t="s">
        <v>960</v>
      </c>
    </row>
    <row r="29" spans="1:10" x14ac:dyDescent="0.3">
      <c r="A29" s="72"/>
      <c r="C29" s="70" t="s">
        <v>959</v>
      </c>
      <c r="D29" s="70" t="s">
        <v>958</v>
      </c>
      <c r="I29" s="70" t="s">
        <v>957</v>
      </c>
    </row>
    <row r="30" spans="1:10" x14ac:dyDescent="0.3">
      <c r="A30" s="72"/>
      <c r="C30" s="70" t="s">
        <v>796</v>
      </c>
      <c r="I30" s="70" t="s">
        <v>956</v>
      </c>
    </row>
    <row r="31" spans="1:10" x14ac:dyDescent="0.3">
      <c r="A31" s="72"/>
      <c r="I31" s="70" t="s">
        <v>955</v>
      </c>
    </row>
    <row r="32" spans="1:10" x14ac:dyDescent="0.3">
      <c r="A32" s="72"/>
      <c r="I32" s="74" t="s">
        <v>954</v>
      </c>
    </row>
    <row r="33" spans="1:11" ht="102" customHeight="1" x14ac:dyDescent="0.3">
      <c r="A33" s="70" t="s">
        <v>48</v>
      </c>
      <c r="B33" s="74" t="s">
        <v>953</v>
      </c>
      <c r="C33" s="74" t="s">
        <v>952</v>
      </c>
      <c r="D33" s="74" t="s">
        <v>951</v>
      </c>
      <c r="E33" s="74" t="s">
        <v>950</v>
      </c>
      <c r="F33" s="74" t="s">
        <v>949</v>
      </c>
      <c r="G33" s="74" t="s">
        <v>948</v>
      </c>
      <c r="H33" s="74" t="s">
        <v>947</v>
      </c>
      <c r="I33" s="74" t="s">
        <v>946</v>
      </c>
      <c r="J33" s="74" t="s">
        <v>945</v>
      </c>
      <c r="K33" s="74"/>
    </row>
    <row r="34" spans="1:11" x14ac:dyDescent="0.3">
      <c r="A34" s="70" t="s">
        <v>54</v>
      </c>
    </row>
  </sheetData>
  <mergeCells count="6">
    <mergeCell ref="A21:A32"/>
    <mergeCell ref="B1:J1"/>
    <mergeCell ref="B2:J2"/>
    <mergeCell ref="B3:J3"/>
    <mergeCell ref="B4:J4"/>
    <mergeCell ref="A8:A19"/>
  </mergeCells>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2ED0A-A120-4330-8AB7-53AAB3EE60F3}">
  <dimension ref="A1:K25"/>
  <sheetViews>
    <sheetView zoomScale="90" zoomScaleNormal="90" workbookViewId="0">
      <selection activeCell="B24" sqref="B24"/>
    </sheetView>
  </sheetViews>
  <sheetFormatPr defaultColWidth="9" defaultRowHeight="13.5" x14ac:dyDescent="0.3"/>
  <cols>
    <col min="1" max="1" width="24.19921875" style="70" customWidth="1"/>
    <col min="2" max="2" width="77" style="70" customWidth="1"/>
    <col min="3" max="3" width="105.19921875" style="70" customWidth="1"/>
    <col min="4" max="4" width="78.19921875" style="70" customWidth="1"/>
    <col min="5" max="5" width="82.59765625" style="70" customWidth="1"/>
    <col min="6" max="6" width="87.19921875" style="70" customWidth="1"/>
    <col min="7" max="7" width="78.19921875" style="70" customWidth="1"/>
    <col min="8" max="8" width="129.9296875" style="70" customWidth="1"/>
    <col min="9" max="9" width="100.59765625" style="70" customWidth="1"/>
    <col min="10" max="10" width="96.19921875" style="70" customWidth="1"/>
    <col min="11" max="16384" width="9" style="70"/>
  </cols>
  <sheetData>
    <row r="1" spans="1:10" x14ac:dyDescent="0.3">
      <c r="A1" s="70" t="s">
        <v>0</v>
      </c>
      <c r="B1" s="72" t="s">
        <v>1215</v>
      </c>
      <c r="C1" s="72"/>
      <c r="D1" s="72"/>
      <c r="E1" s="72"/>
      <c r="F1" s="72"/>
      <c r="G1" s="72"/>
      <c r="H1" s="72"/>
      <c r="I1" s="72"/>
      <c r="J1" s="72"/>
    </row>
    <row r="2" spans="1:10" x14ac:dyDescent="0.3">
      <c r="A2" s="70" t="s">
        <v>2</v>
      </c>
      <c r="B2" s="72" t="s">
        <v>1214</v>
      </c>
      <c r="C2" s="72"/>
      <c r="D2" s="72"/>
      <c r="E2" s="72"/>
      <c r="F2" s="72"/>
      <c r="G2" s="72"/>
      <c r="H2" s="72"/>
      <c r="I2" s="72"/>
      <c r="J2" s="72"/>
    </row>
    <row r="3" spans="1:10" x14ac:dyDescent="0.3">
      <c r="A3" s="70" t="s">
        <v>4</v>
      </c>
      <c r="B3" s="72" t="s">
        <v>5</v>
      </c>
      <c r="C3" s="72"/>
      <c r="D3" s="72"/>
      <c r="E3" s="72"/>
      <c r="F3" s="72"/>
      <c r="G3" s="72"/>
      <c r="H3" s="72"/>
      <c r="I3" s="72"/>
      <c r="J3" s="72"/>
    </row>
    <row r="4" spans="1:10" ht="30" customHeight="1" x14ac:dyDescent="0.3">
      <c r="A4" s="70" t="s">
        <v>6</v>
      </c>
      <c r="B4" s="72" t="s">
        <v>1213</v>
      </c>
      <c r="C4" s="72"/>
      <c r="D4" s="72"/>
      <c r="E4" s="72"/>
      <c r="F4" s="72"/>
      <c r="G4" s="72"/>
      <c r="H4" s="72"/>
      <c r="I4" s="72"/>
      <c r="J4" s="72"/>
    </row>
    <row r="5" spans="1:10" x14ac:dyDescent="0.3">
      <c r="A5" s="70" t="s">
        <v>8</v>
      </c>
      <c r="B5" s="70" t="s">
        <v>1212</v>
      </c>
      <c r="C5" s="70" t="s">
        <v>1211</v>
      </c>
      <c r="D5" s="70" t="s">
        <v>1210</v>
      </c>
      <c r="E5" s="70" t="s">
        <v>1209</v>
      </c>
      <c r="F5" s="70" t="s">
        <v>1208</v>
      </c>
      <c r="G5" s="70" t="s">
        <v>1207</v>
      </c>
      <c r="H5" s="70" t="s">
        <v>1206</v>
      </c>
      <c r="I5" s="70" t="s">
        <v>1205</v>
      </c>
      <c r="J5" s="70" t="s">
        <v>1204</v>
      </c>
    </row>
    <row r="6" spans="1:10" ht="13.9" x14ac:dyDescent="0.3">
      <c r="A6" s="70" t="s">
        <v>15</v>
      </c>
      <c r="B6" s="76" t="s">
        <v>1203</v>
      </c>
      <c r="C6" s="76" t="s">
        <v>1202</v>
      </c>
      <c r="D6" s="76" t="s">
        <v>1201</v>
      </c>
      <c r="E6" s="76" t="s">
        <v>1200</v>
      </c>
      <c r="F6" s="76" t="s">
        <v>1199</v>
      </c>
      <c r="G6" s="76" t="s">
        <v>1198</v>
      </c>
      <c r="H6" s="76" t="s">
        <v>1197</v>
      </c>
      <c r="I6" s="76" t="s">
        <v>1196</v>
      </c>
      <c r="J6" s="76" t="s">
        <v>1195</v>
      </c>
    </row>
    <row r="7" spans="1:10" x14ac:dyDescent="0.3">
      <c r="A7" s="70" t="s">
        <v>22</v>
      </c>
      <c r="B7" s="70" t="s">
        <v>23</v>
      </c>
      <c r="C7" s="70" t="s">
        <v>23</v>
      </c>
      <c r="D7" s="70" t="s">
        <v>23</v>
      </c>
      <c r="E7" s="70" t="s">
        <v>23</v>
      </c>
      <c r="F7" s="70" t="s">
        <v>23</v>
      </c>
      <c r="G7" s="70" t="s">
        <v>23</v>
      </c>
      <c r="H7" s="70" t="s">
        <v>23</v>
      </c>
      <c r="I7" s="70" t="s">
        <v>23</v>
      </c>
      <c r="J7" s="70" t="s">
        <v>23</v>
      </c>
    </row>
    <row r="8" spans="1:10" x14ac:dyDescent="0.3">
      <c r="A8" s="72" t="s">
        <v>24</v>
      </c>
      <c r="B8" s="70" t="s">
        <v>1194</v>
      </c>
      <c r="C8" s="70" t="s">
        <v>1193</v>
      </c>
      <c r="D8" s="70" t="s">
        <v>1192</v>
      </c>
      <c r="E8" s="70" t="s">
        <v>1191</v>
      </c>
      <c r="F8" s="70" t="s">
        <v>1190</v>
      </c>
      <c r="G8" s="70" t="s">
        <v>1189</v>
      </c>
      <c r="H8" s="70" t="s">
        <v>1188</v>
      </c>
      <c r="I8" s="70" t="s">
        <v>1187</v>
      </c>
      <c r="J8" s="70" t="s">
        <v>1186</v>
      </c>
    </row>
    <row r="9" spans="1:10" x14ac:dyDescent="0.3">
      <c r="A9" s="72"/>
      <c r="B9" s="70" t="s">
        <v>1185</v>
      </c>
      <c r="C9" s="70" t="s">
        <v>1184</v>
      </c>
      <c r="D9" s="70" t="s">
        <v>1183</v>
      </c>
      <c r="E9" s="70" t="s">
        <v>1182</v>
      </c>
      <c r="F9" s="70" t="s">
        <v>1181</v>
      </c>
      <c r="G9" s="70" t="s">
        <v>1180</v>
      </c>
      <c r="H9" s="70" t="s">
        <v>1179</v>
      </c>
      <c r="I9" s="70" t="s">
        <v>1178</v>
      </c>
      <c r="J9" s="70" t="s">
        <v>1177</v>
      </c>
    </row>
    <row r="10" spans="1:10" x14ac:dyDescent="0.3">
      <c r="A10" s="72"/>
      <c r="B10" s="70" t="s">
        <v>1176</v>
      </c>
      <c r="C10" s="70" t="s">
        <v>1175</v>
      </c>
      <c r="D10" s="70" t="s">
        <v>1174</v>
      </c>
      <c r="E10" s="70" t="s">
        <v>1173</v>
      </c>
      <c r="F10" s="70" t="s">
        <v>1172</v>
      </c>
      <c r="G10" s="70" t="s">
        <v>1171</v>
      </c>
      <c r="H10" s="70" t="s">
        <v>1170</v>
      </c>
      <c r="I10" s="70" t="s">
        <v>1169</v>
      </c>
      <c r="J10" s="70" t="s">
        <v>1168</v>
      </c>
    </row>
    <row r="11" spans="1:10" x14ac:dyDescent="0.3">
      <c r="A11" s="72"/>
      <c r="B11" s="70" t="s">
        <v>1167</v>
      </c>
      <c r="C11" s="70" t="s">
        <v>1166</v>
      </c>
      <c r="D11" s="70" t="s">
        <v>1165</v>
      </c>
      <c r="E11" s="70" t="s">
        <v>1164</v>
      </c>
      <c r="F11" s="70" t="s">
        <v>1163</v>
      </c>
      <c r="G11" s="70" t="s">
        <v>1162</v>
      </c>
      <c r="H11" s="70" t="s">
        <v>1161</v>
      </c>
      <c r="I11" s="70" t="s">
        <v>1160</v>
      </c>
      <c r="J11" s="70" t="s">
        <v>1159</v>
      </c>
    </row>
    <row r="12" spans="1:10" x14ac:dyDescent="0.3">
      <c r="A12" s="72"/>
      <c r="B12" s="70" t="s">
        <v>1158</v>
      </c>
      <c r="C12" s="70" t="s">
        <v>1157</v>
      </c>
      <c r="D12" s="70" t="s">
        <v>1156</v>
      </c>
      <c r="E12" s="70" t="s">
        <v>1155</v>
      </c>
      <c r="H12" s="70" t="s">
        <v>1154</v>
      </c>
      <c r="I12" s="70" t="s">
        <v>1153</v>
      </c>
      <c r="J12" s="70" t="s">
        <v>1152</v>
      </c>
    </row>
    <row r="13" spans="1:10" x14ac:dyDescent="0.3">
      <c r="A13" s="72"/>
      <c r="E13" s="70" t="s">
        <v>1151</v>
      </c>
      <c r="J13" s="70" t="s">
        <v>1150</v>
      </c>
    </row>
    <row r="14" spans="1:10" x14ac:dyDescent="0.3">
      <c r="A14" s="72"/>
    </row>
    <row r="15" spans="1:10" x14ac:dyDescent="0.3">
      <c r="A15" s="72"/>
    </row>
    <row r="16" spans="1:10" ht="13.9" x14ac:dyDescent="0.3">
      <c r="A16" s="70" t="s">
        <v>41</v>
      </c>
      <c r="B16" s="76" t="s">
        <v>1147</v>
      </c>
      <c r="C16" s="76" t="s">
        <v>1148</v>
      </c>
      <c r="D16" s="76" t="s">
        <v>1149</v>
      </c>
      <c r="E16" s="76" t="s">
        <v>1149</v>
      </c>
      <c r="F16" s="76" t="s">
        <v>1149</v>
      </c>
      <c r="G16" s="76" t="s">
        <v>1148</v>
      </c>
      <c r="H16" s="76" t="s">
        <v>1147</v>
      </c>
      <c r="I16" s="76" t="s">
        <v>1147</v>
      </c>
      <c r="J16" s="76" t="s">
        <v>1147</v>
      </c>
    </row>
    <row r="17" spans="1:11" x14ac:dyDescent="0.3">
      <c r="A17" s="72" t="s">
        <v>47</v>
      </c>
      <c r="B17" s="70" t="s">
        <v>1146</v>
      </c>
      <c r="C17" s="70" t="s">
        <v>1145</v>
      </c>
      <c r="D17" s="70" t="s">
        <v>1144</v>
      </c>
      <c r="E17" s="70" t="s">
        <v>1143</v>
      </c>
      <c r="F17" s="70" t="s">
        <v>1142</v>
      </c>
      <c r="G17" s="70" t="s">
        <v>1141</v>
      </c>
      <c r="H17" s="70" t="s">
        <v>1140</v>
      </c>
      <c r="I17" s="70" t="s">
        <v>1139</v>
      </c>
      <c r="J17" s="70" t="s">
        <v>1138</v>
      </c>
    </row>
    <row r="18" spans="1:11" x14ac:dyDescent="0.3">
      <c r="A18" s="72"/>
      <c r="B18" s="70" t="s">
        <v>1137</v>
      </c>
      <c r="C18" s="70" t="s">
        <v>1136</v>
      </c>
      <c r="D18" s="70" t="s">
        <v>1135</v>
      </c>
      <c r="E18" s="70" t="s">
        <v>1134</v>
      </c>
      <c r="F18" s="70" t="s">
        <v>1133</v>
      </c>
      <c r="G18" s="70" t="s">
        <v>1132</v>
      </c>
      <c r="H18" s="70" t="s">
        <v>1131</v>
      </c>
      <c r="I18" s="70" t="s">
        <v>1130</v>
      </c>
      <c r="J18" s="70" t="s">
        <v>1129</v>
      </c>
    </row>
    <row r="19" spans="1:11" x14ac:dyDescent="0.3">
      <c r="A19" s="72"/>
      <c r="B19" s="70" t="s">
        <v>1128</v>
      </c>
      <c r="C19" s="70" t="s">
        <v>1127</v>
      </c>
      <c r="D19" s="70" t="s">
        <v>1126</v>
      </c>
      <c r="E19" s="70" t="s">
        <v>1125</v>
      </c>
      <c r="F19" s="70" t="s">
        <v>1124</v>
      </c>
      <c r="G19" s="70" t="s">
        <v>1123</v>
      </c>
      <c r="H19" s="70" t="s">
        <v>1122</v>
      </c>
      <c r="I19" s="70" t="s">
        <v>1121</v>
      </c>
      <c r="J19" s="70" t="s">
        <v>1120</v>
      </c>
    </row>
    <row r="20" spans="1:11" x14ac:dyDescent="0.3">
      <c r="A20" s="72"/>
      <c r="B20" s="70" t="s">
        <v>1119</v>
      </c>
      <c r="C20" s="70" t="s">
        <v>1118</v>
      </c>
      <c r="D20" s="70" t="s">
        <v>1117</v>
      </c>
      <c r="E20" s="70" t="s">
        <v>1116</v>
      </c>
      <c r="F20" s="70" t="s">
        <v>1115</v>
      </c>
      <c r="G20" s="70" t="s">
        <v>1114</v>
      </c>
      <c r="H20" s="70" t="s">
        <v>1113</v>
      </c>
      <c r="I20" s="70" t="s">
        <v>1112</v>
      </c>
      <c r="J20" s="70" t="s">
        <v>1111</v>
      </c>
    </row>
    <row r="21" spans="1:11" x14ac:dyDescent="0.3">
      <c r="A21" s="72"/>
      <c r="B21" s="70" t="s">
        <v>1110</v>
      </c>
      <c r="C21" s="70" t="s">
        <v>1109</v>
      </c>
      <c r="D21" s="70" t="s">
        <v>1108</v>
      </c>
      <c r="E21" s="70" t="s">
        <v>1107</v>
      </c>
      <c r="H21" s="70" t="s">
        <v>1106</v>
      </c>
      <c r="I21" s="70" t="s">
        <v>1105</v>
      </c>
      <c r="J21" s="70" t="s">
        <v>1104</v>
      </c>
    </row>
    <row r="22" spans="1:11" x14ac:dyDescent="0.3">
      <c r="A22" s="72"/>
      <c r="E22" s="70" t="s">
        <v>1103</v>
      </c>
      <c r="J22" s="70" t="s">
        <v>1102</v>
      </c>
    </row>
    <row r="23" spans="1:11" x14ac:dyDescent="0.3">
      <c r="A23" s="72"/>
    </row>
    <row r="24" spans="1:11" ht="102" customHeight="1" x14ac:dyDescent="0.3">
      <c r="A24" s="70" t="s">
        <v>48</v>
      </c>
      <c r="B24" s="76" t="s">
        <v>1101</v>
      </c>
      <c r="C24" s="76" t="s">
        <v>1100</v>
      </c>
      <c r="D24" s="76" t="s">
        <v>1099</v>
      </c>
      <c r="E24" s="76" t="s">
        <v>1098</v>
      </c>
      <c r="F24" s="76" t="s">
        <v>1097</v>
      </c>
      <c r="G24" s="76" t="s">
        <v>1096</v>
      </c>
      <c r="H24" s="76" t="s">
        <v>1095</v>
      </c>
      <c r="I24" s="76" t="s">
        <v>1094</v>
      </c>
      <c r="J24" s="76" t="s">
        <v>1093</v>
      </c>
      <c r="K24" s="74"/>
    </row>
    <row r="25" spans="1:11" x14ac:dyDescent="0.3">
      <c r="A25" s="70" t="s">
        <v>54</v>
      </c>
    </row>
  </sheetData>
  <mergeCells count="6">
    <mergeCell ref="A17:A23"/>
    <mergeCell ref="B1:J1"/>
    <mergeCell ref="B2:J2"/>
    <mergeCell ref="B3:J3"/>
    <mergeCell ref="B4:J4"/>
    <mergeCell ref="A8:A15"/>
  </mergeCells>
  <phoneticPr fontId="1"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07854-6451-45FC-BE73-4ADBC2605D33}">
  <dimension ref="A1:K25"/>
  <sheetViews>
    <sheetView zoomScale="90" zoomScaleNormal="90" workbookViewId="0">
      <selection activeCell="B24" sqref="B24"/>
    </sheetView>
  </sheetViews>
  <sheetFormatPr defaultColWidth="9" defaultRowHeight="13.5" x14ac:dyDescent="0.3"/>
  <cols>
    <col min="1" max="1" width="24.19921875" style="70" customWidth="1"/>
    <col min="2" max="2" width="77" style="70" customWidth="1"/>
    <col min="3" max="3" width="105.19921875" style="70" customWidth="1"/>
    <col min="4" max="4" width="78.19921875" style="70" customWidth="1"/>
    <col min="5" max="5" width="82.59765625" style="70" customWidth="1"/>
    <col min="6" max="6" width="87.19921875" style="70" customWidth="1"/>
    <col min="7" max="7" width="78.19921875" style="70" customWidth="1"/>
    <col min="8" max="8" width="129.9296875" style="70" customWidth="1"/>
    <col min="9" max="9" width="100.59765625" style="70" customWidth="1"/>
    <col min="10" max="10" width="96.19921875" style="70" customWidth="1"/>
    <col min="11" max="16384" width="9" style="70"/>
  </cols>
  <sheetData>
    <row r="1" spans="1:10" x14ac:dyDescent="0.3">
      <c r="A1" s="70" t="s">
        <v>0</v>
      </c>
      <c r="B1" s="72" t="s">
        <v>1362</v>
      </c>
      <c r="C1" s="72"/>
      <c r="D1" s="72"/>
      <c r="E1" s="72"/>
      <c r="F1" s="72"/>
      <c r="G1" s="72"/>
      <c r="H1" s="72"/>
      <c r="I1" s="72"/>
      <c r="J1" s="72"/>
    </row>
    <row r="2" spans="1:10" x14ac:dyDescent="0.3">
      <c r="A2" s="70" t="s">
        <v>2</v>
      </c>
      <c r="B2" s="72" t="s">
        <v>1361</v>
      </c>
      <c r="C2" s="72"/>
      <c r="D2" s="72"/>
      <c r="E2" s="72"/>
      <c r="F2" s="72"/>
      <c r="G2" s="72"/>
      <c r="H2" s="72"/>
      <c r="I2" s="72"/>
      <c r="J2" s="72"/>
    </row>
    <row r="3" spans="1:10" x14ac:dyDescent="0.3">
      <c r="A3" s="70" t="s">
        <v>4</v>
      </c>
      <c r="B3" s="72" t="s">
        <v>445</v>
      </c>
      <c r="C3" s="72"/>
      <c r="D3" s="72"/>
      <c r="E3" s="72"/>
      <c r="F3" s="72"/>
      <c r="G3" s="72"/>
      <c r="H3" s="72"/>
      <c r="I3" s="72"/>
      <c r="J3" s="72"/>
    </row>
    <row r="4" spans="1:10" ht="30" customHeight="1" x14ac:dyDescent="0.3">
      <c r="A4" s="70" t="s">
        <v>6</v>
      </c>
      <c r="B4" s="72" t="s">
        <v>1360</v>
      </c>
      <c r="C4" s="72"/>
      <c r="D4" s="72"/>
      <c r="E4" s="72"/>
      <c r="F4" s="72"/>
      <c r="G4" s="72"/>
      <c r="H4" s="72"/>
      <c r="I4" s="72"/>
      <c r="J4" s="72"/>
    </row>
    <row r="5" spans="1:10" x14ac:dyDescent="0.3">
      <c r="A5" s="70" t="s">
        <v>8</v>
      </c>
      <c r="B5" s="70" t="s">
        <v>1359</v>
      </c>
      <c r="C5" s="70" t="s">
        <v>1358</v>
      </c>
      <c r="D5" s="70" t="s">
        <v>1357</v>
      </c>
      <c r="E5" s="70" t="s">
        <v>1356</v>
      </c>
      <c r="F5" s="70" t="s">
        <v>1355</v>
      </c>
      <c r="G5" s="70" t="s">
        <v>1354</v>
      </c>
      <c r="H5" s="70" t="s">
        <v>1353</v>
      </c>
      <c r="I5" s="70" t="s">
        <v>1352</v>
      </c>
      <c r="J5" s="70" t="s">
        <v>1351</v>
      </c>
    </row>
    <row r="6" spans="1:10" ht="13.9" x14ac:dyDescent="0.3">
      <c r="A6" s="70" t="s">
        <v>15</v>
      </c>
      <c r="B6" s="76" t="s">
        <v>1350</v>
      </c>
      <c r="C6" s="76" t="s">
        <v>1349</v>
      </c>
      <c r="D6" s="76" t="s">
        <v>1348</v>
      </c>
      <c r="E6" s="76" t="s">
        <v>1347</v>
      </c>
      <c r="F6" s="76" t="s">
        <v>1346</v>
      </c>
      <c r="G6" s="76" t="s">
        <v>1345</v>
      </c>
      <c r="H6" s="76" t="s">
        <v>1344</v>
      </c>
      <c r="I6" s="76" t="s">
        <v>1343</v>
      </c>
      <c r="J6" s="76" t="s">
        <v>1342</v>
      </c>
    </row>
    <row r="7" spans="1:10" x14ac:dyDescent="0.3">
      <c r="A7" s="70" t="s">
        <v>22</v>
      </c>
      <c r="B7" s="70" t="s">
        <v>23</v>
      </c>
      <c r="C7" s="70" t="s">
        <v>23</v>
      </c>
      <c r="D7" s="70" t="s">
        <v>23</v>
      </c>
      <c r="E7" s="70" t="s">
        <v>23</v>
      </c>
      <c r="F7" s="70" t="s">
        <v>23</v>
      </c>
      <c r="G7" s="70" t="s">
        <v>23</v>
      </c>
      <c r="H7" s="70" t="s">
        <v>23</v>
      </c>
      <c r="I7" s="70" t="s">
        <v>23</v>
      </c>
      <c r="J7" s="70" t="s">
        <v>23</v>
      </c>
    </row>
    <row r="8" spans="1:10" x14ac:dyDescent="0.3">
      <c r="A8" s="72" t="s">
        <v>24</v>
      </c>
      <c r="B8" s="70" t="s">
        <v>1341</v>
      </c>
      <c r="C8" s="70" t="s">
        <v>1340</v>
      </c>
      <c r="D8" s="70" t="s">
        <v>1339</v>
      </c>
      <c r="E8" s="70" t="s">
        <v>1338</v>
      </c>
      <c r="F8" s="70" t="s">
        <v>1337</v>
      </c>
      <c r="G8" s="70" t="s">
        <v>1336</v>
      </c>
      <c r="H8" s="70" t="s">
        <v>1335</v>
      </c>
      <c r="I8" s="70" t="s">
        <v>1334</v>
      </c>
      <c r="J8" s="70" t="s">
        <v>1333</v>
      </c>
    </row>
    <row r="9" spans="1:10" x14ac:dyDescent="0.3">
      <c r="A9" s="72"/>
      <c r="B9" s="70" t="s">
        <v>1332</v>
      </c>
      <c r="C9" s="70" t="s">
        <v>1331</v>
      </c>
      <c r="D9" s="70" t="s">
        <v>1330</v>
      </c>
      <c r="E9" s="70" t="s">
        <v>1329</v>
      </c>
      <c r="F9" s="70" t="s">
        <v>1328</v>
      </c>
      <c r="G9" s="70" t="s">
        <v>1327</v>
      </c>
      <c r="H9" s="70" t="s">
        <v>1326</v>
      </c>
      <c r="I9" s="70" t="s">
        <v>1325</v>
      </c>
      <c r="J9" s="70" t="s">
        <v>1324</v>
      </c>
    </row>
    <row r="10" spans="1:10" x14ac:dyDescent="0.3">
      <c r="A10" s="72"/>
      <c r="B10" s="70" t="s">
        <v>1323</v>
      </c>
      <c r="C10" s="70" t="s">
        <v>1322</v>
      </c>
      <c r="D10" s="70" t="s">
        <v>1321</v>
      </c>
      <c r="E10" s="70" t="s">
        <v>1320</v>
      </c>
      <c r="F10" s="70" t="s">
        <v>1319</v>
      </c>
      <c r="G10" s="70" t="s">
        <v>1318</v>
      </c>
      <c r="H10" s="70" t="s">
        <v>1317</v>
      </c>
      <c r="I10" s="70" t="s">
        <v>1316</v>
      </c>
      <c r="J10" s="70" t="s">
        <v>1315</v>
      </c>
    </row>
    <row r="11" spans="1:10" x14ac:dyDescent="0.3">
      <c r="A11" s="72"/>
      <c r="B11" s="70" t="s">
        <v>1314</v>
      </c>
      <c r="C11" s="70" t="s">
        <v>1313</v>
      </c>
      <c r="D11" s="70" t="s">
        <v>1312</v>
      </c>
      <c r="E11" s="70" t="s">
        <v>1311</v>
      </c>
      <c r="F11" s="70" t="s">
        <v>1310</v>
      </c>
      <c r="G11" s="70" t="s">
        <v>1309</v>
      </c>
      <c r="H11" s="70" t="s">
        <v>1308</v>
      </c>
      <c r="I11" s="70" t="s">
        <v>1307</v>
      </c>
      <c r="J11" s="70" t="s">
        <v>1306</v>
      </c>
    </row>
    <row r="12" spans="1:10" x14ac:dyDescent="0.3">
      <c r="A12" s="72"/>
      <c r="B12" s="70" t="s">
        <v>1305</v>
      </c>
      <c r="C12" s="70" t="s">
        <v>1304</v>
      </c>
      <c r="D12" s="70" t="s">
        <v>1303</v>
      </c>
      <c r="E12" s="70" t="s">
        <v>1302</v>
      </c>
      <c r="F12" s="70" t="s">
        <v>1301</v>
      </c>
      <c r="G12" s="70" t="s">
        <v>1300</v>
      </c>
      <c r="H12" s="70" t="s">
        <v>1299</v>
      </c>
      <c r="I12" s="70" t="s">
        <v>1298</v>
      </c>
      <c r="J12" s="70" t="s">
        <v>1297</v>
      </c>
    </row>
    <row r="13" spans="1:10" x14ac:dyDescent="0.3">
      <c r="A13" s="72"/>
      <c r="B13" s="70" t="s">
        <v>1296</v>
      </c>
      <c r="C13" s="70" t="s">
        <v>1295</v>
      </c>
      <c r="D13" s="70" t="s">
        <v>1294</v>
      </c>
      <c r="E13" s="70" t="s">
        <v>1293</v>
      </c>
      <c r="F13" s="70" t="s">
        <v>1292</v>
      </c>
      <c r="G13" s="70" t="s">
        <v>1291</v>
      </c>
      <c r="H13" s="70" t="s">
        <v>1290</v>
      </c>
      <c r="I13" s="70" t="s">
        <v>1289</v>
      </c>
      <c r="J13" s="70" t="s">
        <v>1288</v>
      </c>
    </row>
    <row r="14" spans="1:10" x14ac:dyDescent="0.3">
      <c r="A14" s="72"/>
      <c r="E14" s="70" t="s">
        <v>1287</v>
      </c>
    </row>
    <row r="15" spans="1:10" x14ac:dyDescent="0.3">
      <c r="A15" s="72"/>
    </row>
    <row r="16" spans="1:10" ht="13.9" x14ac:dyDescent="0.3">
      <c r="A16" s="70" t="s">
        <v>41</v>
      </c>
      <c r="B16" s="76" t="s">
        <v>1286</v>
      </c>
      <c r="C16" s="76" t="s">
        <v>1285</v>
      </c>
      <c r="D16" s="76" t="s">
        <v>1148</v>
      </c>
      <c r="E16" s="76" t="s">
        <v>1148</v>
      </c>
      <c r="F16" s="76" t="s">
        <v>1284</v>
      </c>
      <c r="G16" s="76" t="s">
        <v>1283</v>
      </c>
      <c r="H16" s="76" t="s">
        <v>1282</v>
      </c>
      <c r="I16" s="76" t="s">
        <v>1281</v>
      </c>
      <c r="J16" s="76" t="s">
        <v>1280</v>
      </c>
    </row>
    <row r="17" spans="1:11" x14ac:dyDescent="0.3">
      <c r="A17" s="72" t="s">
        <v>47</v>
      </c>
      <c r="B17" s="70" t="s">
        <v>1279</v>
      </c>
      <c r="C17" s="70" t="s">
        <v>1278</v>
      </c>
      <c r="D17" s="70" t="s">
        <v>1277</v>
      </c>
      <c r="E17" s="70" t="s">
        <v>1276</v>
      </c>
      <c r="F17" s="70" t="s">
        <v>1275</v>
      </c>
      <c r="G17" s="70" t="s">
        <v>1274</v>
      </c>
      <c r="H17" s="70" t="s">
        <v>1273</v>
      </c>
      <c r="I17" s="70" t="s">
        <v>1272</v>
      </c>
      <c r="J17" s="70" t="s">
        <v>1271</v>
      </c>
    </row>
    <row r="18" spans="1:11" x14ac:dyDescent="0.3">
      <c r="A18" s="72"/>
      <c r="B18" s="70" t="s">
        <v>1270</v>
      </c>
      <c r="C18" s="70" t="s">
        <v>1269</v>
      </c>
      <c r="D18" s="70" t="s">
        <v>1268</v>
      </c>
      <c r="E18" s="70" t="s">
        <v>1267</v>
      </c>
      <c r="F18" s="70" t="s">
        <v>1266</v>
      </c>
      <c r="G18" s="70" t="s">
        <v>1265</v>
      </c>
      <c r="H18" s="70" t="s">
        <v>1264</v>
      </c>
      <c r="I18" s="70" t="s">
        <v>1263</v>
      </c>
      <c r="J18" s="70" t="s">
        <v>1262</v>
      </c>
    </row>
    <row r="19" spans="1:11" x14ac:dyDescent="0.3">
      <c r="A19" s="72"/>
      <c r="B19" s="70" t="s">
        <v>1261</v>
      </c>
      <c r="C19" s="70" t="s">
        <v>1260</v>
      </c>
      <c r="D19" s="70" t="s">
        <v>1259</v>
      </c>
      <c r="E19" s="70" t="s">
        <v>1258</v>
      </c>
      <c r="F19" s="70" t="s">
        <v>1257</v>
      </c>
      <c r="G19" s="70" t="s">
        <v>1256</v>
      </c>
      <c r="H19" s="70" t="s">
        <v>1255</v>
      </c>
      <c r="I19" s="70" t="s">
        <v>1254</v>
      </c>
      <c r="J19" s="70" t="s">
        <v>1253</v>
      </c>
    </row>
    <row r="20" spans="1:11" x14ac:dyDescent="0.3">
      <c r="A20" s="72"/>
      <c r="B20" s="70" t="s">
        <v>1252</v>
      </c>
      <c r="C20" s="70" t="s">
        <v>1251</v>
      </c>
      <c r="D20" s="70" t="s">
        <v>1250</v>
      </c>
      <c r="E20" s="70" t="s">
        <v>1249</v>
      </c>
      <c r="F20" s="70" t="s">
        <v>1248</v>
      </c>
      <c r="G20" s="70" t="s">
        <v>1247</v>
      </c>
      <c r="H20" s="70" t="s">
        <v>1246</v>
      </c>
      <c r="I20" s="70" t="s">
        <v>1245</v>
      </c>
      <c r="J20" s="70" t="s">
        <v>1244</v>
      </c>
    </row>
    <row r="21" spans="1:11" x14ac:dyDescent="0.3">
      <c r="A21" s="72"/>
      <c r="B21" s="70" t="s">
        <v>1243</v>
      </c>
      <c r="C21" s="70" t="s">
        <v>1242</v>
      </c>
      <c r="D21" s="70" t="s">
        <v>1241</v>
      </c>
      <c r="E21" s="70" t="s">
        <v>1240</v>
      </c>
      <c r="F21" s="70" t="s">
        <v>1239</v>
      </c>
      <c r="G21" s="70" t="s">
        <v>1238</v>
      </c>
      <c r="H21" s="70" t="s">
        <v>1237</v>
      </c>
      <c r="I21" s="70" t="s">
        <v>1236</v>
      </c>
      <c r="J21" s="70" t="s">
        <v>1235</v>
      </c>
    </row>
    <row r="22" spans="1:11" x14ac:dyDescent="0.3">
      <c r="A22" s="72"/>
      <c r="B22" s="70" t="s">
        <v>1234</v>
      </c>
      <c r="C22" s="70" t="s">
        <v>1233</v>
      </c>
      <c r="D22" s="70" t="s">
        <v>1232</v>
      </c>
      <c r="E22" s="70" t="s">
        <v>1231</v>
      </c>
      <c r="F22" s="70" t="s">
        <v>1230</v>
      </c>
      <c r="G22" s="70" t="s">
        <v>1229</v>
      </c>
      <c r="H22" s="70" t="s">
        <v>1228</v>
      </c>
      <c r="I22" s="70" t="s">
        <v>1227</v>
      </c>
      <c r="J22" s="70" t="s">
        <v>1226</v>
      </c>
    </row>
    <row r="23" spans="1:11" x14ac:dyDescent="0.3">
      <c r="A23" s="72"/>
      <c r="E23" s="70" t="s">
        <v>1225</v>
      </c>
    </row>
    <row r="24" spans="1:11" ht="102" customHeight="1" x14ac:dyDescent="0.3">
      <c r="A24" s="70" t="s">
        <v>48</v>
      </c>
      <c r="B24" s="76" t="s">
        <v>1224</v>
      </c>
      <c r="C24" s="76" t="s">
        <v>1223</v>
      </c>
      <c r="D24" s="76" t="s">
        <v>1222</v>
      </c>
      <c r="E24" s="76" t="s">
        <v>1221</v>
      </c>
      <c r="F24" s="76" t="s">
        <v>1220</v>
      </c>
      <c r="G24" s="76" t="s">
        <v>1219</v>
      </c>
      <c r="H24" s="76" t="s">
        <v>1218</v>
      </c>
      <c r="I24" s="76" t="s">
        <v>1217</v>
      </c>
      <c r="J24" s="76" t="s">
        <v>1216</v>
      </c>
      <c r="K24" s="74"/>
    </row>
    <row r="25" spans="1:11" x14ac:dyDescent="0.3">
      <c r="A25" s="70" t="s">
        <v>54</v>
      </c>
    </row>
  </sheetData>
  <mergeCells count="6">
    <mergeCell ref="A17:A23"/>
    <mergeCell ref="B1:J1"/>
    <mergeCell ref="B2:J2"/>
    <mergeCell ref="B3:J3"/>
    <mergeCell ref="B4:J4"/>
    <mergeCell ref="A8:A15"/>
  </mergeCells>
  <phoneticPr fontId="1"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47677-8B3F-49A7-A30E-0DCD39123655}">
  <dimension ref="A1:G14"/>
  <sheetViews>
    <sheetView workbookViewId="0">
      <selection activeCell="C11" sqref="C11"/>
    </sheetView>
  </sheetViews>
  <sheetFormatPr defaultColWidth="9" defaultRowHeight="13.5" x14ac:dyDescent="0.3"/>
  <cols>
    <col min="1" max="1" width="24.19921875" style="65" customWidth="1"/>
    <col min="2" max="2" width="25.46484375" style="65" customWidth="1"/>
    <col min="3" max="3" width="26.796875" style="65" customWidth="1"/>
    <col min="4" max="4" width="25.06640625" style="65" customWidth="1"/>
    <col min="5" max="5" width="29" style="65" customWidth="1"/>
    <col min="6" max="6" width="23" style="65" customWidth="1"/>
    <col min="7" max="7" width="22.33203125" style="65" customWidth="1"/>
    <col min="8" max="16384" width="9" style="65"/>
  </cols>
  <sheetData>
    <row r="1" spans="1:7" x14ac:dyDescent="0.3">
      <c r="A1" s="66" t="s">
        <v>0</v>
      </c>
      <c r="B1" s="66" t="s">
        <v>447</v>
      </c>
    </row>
    <row r="2" spans="1:7" x14ac:dyDescent="0.3">
      <c r="A2" s="66" t="s">
        <v>2</v>
      </c>
      <c r="B2" s="66" t="s">
        <v>446</v>
      </c>
    </row>
    <row r="3" spans="1:7" x14ac:dyDescent="0.3">
      <c r="A3" s="66" t="s">
        <v>4</v>
      </c>
      <c r="B3" s="66" t="s">
        <v>445</v>
      </c>
    </row>
    <row r="4" spans="1:7" x14ac:dyDescent="0.3">
      <c r="A4" s="66" t="s">
        <v>6</v>
      </c>
      <c r="B4" s="66" t="s">
        <v>444</v>
      </c>
    </row>
    <row r="5" spans="1:7" x14ac:dyDescent="0.3">
      <c r="A5" s="66" t="s">
        <v>8</v>
      </c>
      <c r="B5" s="66" t="s">
        <v>443</v>
      </c>
      <c r="C5" s="66" t="s">
        <v>442</v>
      </c>
      <c r="D5" s="66" t="s">
        <v>441</v>
      </c>
      <c r="E5" s="66" t="s">
        <v>440</v>
      </c>
      <c r="F5" s="66" t="s">
        <v>439</v>
      </c>
      <c r="G5" s="66" t="s">
        <v>438</v>
      </c>
    </row>
    <row r="6" spans="1:7" x14ac:dyDescent="0.3">
      <c r="A6" s="66" t="s">
        <v>15</v>
      </c>
      <c r="B6" s="66" t="s">
        <v>437</v>
      </c>
      <c r="C6" s="66" t="s">
        <v>436</v>
      </c>
      <c r="D6" s="66" t="s">
        <v>435</v>
      </c>
      <c r="E6" s="66" t="s">
        <v>434</v>
      </c>
      <c r="F6" s="66" t="s">
        <v>433</v>
      </c>
      <c r="G6" s="66" t="s">
        <v>432</v>
      </c>
    </row>
    <row r="7" spans="1:7" ht="112.05" customHeight="1" x14ac:dyDescent="0.3">
      <c r="A7" s="67" t="s">
        <v>24</v>
      </c>
      <c r="B7" s="67" t="s">
        <v>431</v>
      </c>
      <c r="C7" s="67" t="s">
        <v>430</v>
      </c>
      <c r="D7" s="67" t="s">
        <v>429</v>
      </c>
      <c r="E7" s="67" t="s">
        <v>428</v>
      </c>
      <c r="F7" s="67" t="s">
        <v>427</v>
      </c>
      <c r="G7" s="67" t="s">
        <v>426</v>
      </c>
    </row>
    <row r="8" spans="1:7" x14ac:dyDescent="0.3">
      <c r="A8" s="66" t="s">
        <v>22</v>
      </c>
      <c r="B8" s="66" t="s">
        <v>23</v>
      </c>
      <c r="C8" s="66" t="s">
        <v>23</v>
      </c>
      <c r="D8" s="66" t="s">
        <v>23</v>
      </c>
      <c r="E8" s="66" t="s">
        <v>23</v>
      </c>
      <c r="F8" s="66" t="s">
        <v>23</v>
      </c>
      <c r="G8" s="66" t="s">
        <v>425</v>
      </c>
    </row>
    <row r="9" spans="1:7" ht="42" customHeight="1" x14ac:dyDescent="0.3">
      <c r="A9" s="67" t="s">
        <v>41</v>
      </c>
      <c r="B9" s="67" t="s">
        <v>424</v>
      </c>
      <c r="C9" s="67" t="s">
        <v>423</v>
      </c>
      <c r="D9" s="67" t="s">
        <v>422</v>
      </c>
      <c r="E9" s="67" t="s">
        <v>421</v>
      </c>
      <c r="F9" s="67" t="s">
        <v>420</v>
      </c>
      <c r="G9" s="67" t="s">
        <v>419</v>
      </c>
    </row>
    <row r="10" spans="1:7" ht="84" customHeight="1" x14ac:dyDescent="0.3">
      <c r="A10" s="69" t="s">
        <v>47</v>
      </c>
      <c r="B10" s="67" t="s">
        <v>223</v>
      </c>
      <c r="C10" s="67" t="s">
        <v>418</v>
      </c>
      <c r="D10" s="67" t="s">
        <v>417</v>
      </c>
      <c r="E10" s="67" t="s">
        <v>416</v>
      </c>
      <c r="F10" s="67" t="s">
        <v>415</v>
      </c>
      <c r="G10" s="67" t="s">
        <v>414</v>
      </c>
    </row>
    <row r="11" spans="1:7" ht="56" customHeight="1" x14ac:dyDescent="0.3">
      <c r="A11" s="68"/>
      <c r="B11" s="67" t="s">
        <v>224</v>
      </c>
      <c r="C11" s="67" t="s">
        <v>413</v>
      </c>
      <c r="D11" s="67" t="s">
        <v>412</v>
      </c>
      <c r="E11" s="67" t="s">
        <v>411</v>
      </c>
      <c r="F11" s="67" t="s">
        <v>410</v>
      </c>
      <c r="G11" s="67" t="s">
        <v>409</v>
      </c>
    </row>
    <row r="12" spans="1:7" ht="56" customHeight="1" x14ac:dyDescent="0.3">
      <c r="A12" s="68"/>
      <c r="B12" s="67" t="s">
        <v>225</v>
      </c>
      <c r="C12" s="67" t="s">
        <v>408</v>
      </c>
      <c r="D12" s="67" t="s">
        <v>407</v>
      </c>
      <c r="E12" s="67" t="s">
        <v>406</v>
      </c>
      <c r="F12" s="67" t="s">
        <v>405</v>
      </c>
      <c r="G12" s="67" t="s">
        <v>404</v>
      </c>
    </row>
    <row r="13" spans="1:7" ht="42" customHeight="1" x14ac:dyDescent="0.3">
      <c r="A13" s="67" t="s">
        <v>48</v>
      </c>
      <c r="B13" s="67" t="s">
        <v>403</v>
      </c>
      <c r="C13" s="67" t="s">
        <v>402</v>
      </c>
      <c r="D13" s="67" t="s">
        <v>401</v>
      </c>
      <c r="E13" s="67" t="s">
        <v>400</v>
      </c>
      <c r="F13" s="67" t="s">
        <v>399</v>
      </c>
      <c r="G13" s="67" t="s">
        <v>398</v>
      </c>
    </row>
    <row r="14" spans="1:7" x14ac:dyDescent="0.3">
      <c r="A14" s="66" t="s">
        <v>54</v>
      </c>
      <c r="B14" s="66" t="s">
        <v>397</v>
      </c>
    </row>
  </sheetData>
  <mergeCells count="1">
    <mergeCell ref="A10:A12"/>
  </mergeCells>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49073-9556-415C-A43A-28E822606A9A}">
  <dimension ref="A1:G14"/>
  <sheetViews>
    <sheetView topLeftCell="A10" workbookViewId="0">
      <selection activeCell="C14" sqref="C14"/>
    </sheetView>
  </sheetViews>
  <sheetFormatPr defaultColWidth="9" defaultRowHeight="13.5" x14ac:dyDescent="0.3"/>
  <cols>
    <col min="1" max="1" width="24.19921875" style="65" customWidth="1"/>
    <col min="2" max="2" width="25.46484375" style="65" customWidth="1"/>
    <col min="3" max="3" width="26.796875" style="65" customWidth="1"/>
    <col min="4" max="4" width="25.06640625" style="65" customWidth="1"/>
    <col min="5" max="5" width="29" style="65" customWidth="1"/>
    <col min="6" max="6" width="23" style="65" customWidth="1"/>
    <col min="7" max="7" width="22.33203125" style="65" customWidth="1"/>
    <col min="8" max="16384" width="9" style="65"/>
  </cols>
  <sheetData>
    <row r="1" spans="1:7" x14ac:dyDescent="0.3">
      <c r="A1" s="66" t="s">
        <v>0</v>
      </c>
      <c r="B1" s="66" t="s">
        <v>497</v>
      </c>
    </row>
    <row r="2" spans="1:7" x14ac:dyDescent="0.3">
      <c r="A2" s="66" t="s">
        <v>2</v>
      </c>
      <c r="B2" s="66" t="s">
        <v>496</v>
      </c>
    </row>
    <row r="3" spans="1:7" x14ac:dyDescent="0.3">
      <c r="A3" s="66" t="s">
        <v>4</v>
      </c>
      <c r="B3" s="66" t="s">
        <v>445</v>
      </c>
    </row>
    <row r="4" spans="1:7" x14ac:dyDescent="0.3">
      <c r="A4" s="66" t="s">
        <v>6</v>
      </c>
      <c r="B4" s="66" t="s">
        <v>495</v>
      </c>
    </row>
    <row r="5" spans="1:7" x14ac:dyDescent="0.3">
      <c r="A5" s="66" t="s">
        <v>8</v>
      </c>
      <c r="B5" s="66" t="s">
        <v>494</v>
      </c>
      <c r="C5" s="66" t="s">
        <v>493</v>
      </c>
      <c r="D5" s="66" t="s">
        <v>492</v>
      </c>
      <c r="E5" s="66" t="s">
        <v>491</v>
      </c>
      <c r="F5" s="66" t="s">
        <v>490</v>
      </c>
      <c r="G5" s="66" t="s">
        <v>489</v>
      </c>
    </row>
    <row r="6" spans="1:7" x14ac:dyDescent="0.3">
      <c r="A6" s="66" t="s">
        <v>15</v>
      </c>
      <c r="B6" s="66" t="s">
        <v>488</v>
      </c>
      <c r="C6" s="66" t="s">
        <v>487</v>
      </c>
      <c r="D6" s="66" t="s">
        <v>486</v>
      </c>
      <c r="E6" s="66" t="s">
        <v>485</v>
      </c>
      <c r="F6" s="66" t="s">
        <v>484</v>
      </c>
      <c r="G6" s="66" t="s">
        <v>483</v>
      </c>
    </row>
    <row r="7" spans="1:7" ht="112.05" customHeight="1" x14ac:dyDescent="0.3">
      <c r="A7" s="67" t="s">
        <v>24</v>
      </c>
      <c r="B7" s="67" t="s">
        <v>482</v>
      </c>
      <c r="C7" s="67" t="s">
        <v>481</v>
      </c>
      <c r="D7" s="67" t="s">
        <v>480</v>
      </c>
      <c r="E7" s="67" t="s">
        <v>479</v>
      </c>
      <c r="F7" s="67" t="s">
        <v>478</v>
      </c>
      <c r="G7" s="67" t="s">
        <v>477</v>
      </c>
    </row>
    <row r="8" spans="1:7" x14ac:dyDescent="0.3">
      <c r="A8" s="66" t="s">
        <v>22</v>
      </c>
      <c r="B8" s="66" t="s">
        <v>476</v>
      </c>
      <c r="C8" s="66" t="s">
        <v>23</v>
      </c>
      <c r="D8" s="66" t="s">
        <v>23</v>
      </c>
      <c r="E8" s="66" t="s">
        <v>23</v>
      </c>
      <c r="F8" s="66" t="s">
        <v>23</v>
      </c>
      <c r="G8" s="66" t="s">
        <v>425</v>
      </c>
    </row>
    <row r="9" spans="1:7" ht="42" customHeight="1" x14ac:dyDescent="0.3">
      <c r="A9" s="67" t="s">
        <v>41</v>
      </c>
      <c r="B9" s="67" t="s">
        <v>475</v>
      </c>
      <c r="C9" s="67" t="s">
        <v>474</v>
      </c>
      <c r="D9" s="67" t="s">
        <v>473</v>
      </c>
      <c r="E9" s="67" t="s">
        <v>472</v>
      </c>
      <c r="F9" s="67" t="s">
        <v>471</v>
      </c>
      <c r="G9" s="67" t="s">
        <v>470</v>
      </c>
    </row>
    <row r="10" spans="1:7" ht="84" customHeight="1" x14ac:dyDescent="0.3">
      <c r="A10" s="69" t="s">
        <v>47</v>
      </c>
      <c r="B10" s="67" t="s">
        <v>223</v>
      </c>
      <c r="C10" s="67" t="s">
        <v>469</v>
      </c>
      <c r="D10" s="67" t="s">
        <v>468</v>
      </c>
      <c r="E10" s="67" t="s">
        <v>467</v>
      </c>
      <c r="F10" s="67" t="s">
        <v>466</v>
      </c>
      <c r="G10" s="67" t="s">
        <v>465</v>
      </c>
    </row>
    <row r="11" spans="1:7" ht="56" customHeight="1" x14ac:dyDescent="0.3">
      <c r="A11" s="68"/>
      <c r="B11" s="67" t="s">
        <v>224</v>
      </c>
      <c r="C11" s="67" t="s">
        <v>464</v>
      </c>
      <c r="D11" s="67" t="s">
        <v>463</v>
      </c>
      <c r="E11" s="67" t="s">
        <v>462</v>
      </c>
      <c r="F11" s="67" t="s">
        <v>461</v>
      </c>
      <c r="G11" s="67" t="s">
        <v>460</v>
      </c>
    </row>
    <row r="12" spans="1:7" ht="56" customHeight="1" x14ac:dyDescent="0.3">
      <c r="A12" s="68"/>
      <c r="B12" s="67" t="s">
        <v>225</v>
      </c>
      <c r="C12" s="67" t="s">
        <v>459</v>
      </c>
      <c r="D12" s="67" t="s">
        <v>458</v>
      </c>
      <c r="E12" s="67" t="s">
        <v>457</v>
      </c>
      <c r="F12" s="67" t="s">
        <v>456</v>
      </c>
      <c r="G12" s="67" t="s">
        <v>455</v>
      </c>
    </row>
    <row r="13" spans="1:7" ht="42" customHeight="1" x14ac:dyDescent="0.3">
      <c r="A13" s="67" t="s">
        <v>48</v>
      </c>
      <c r="B13" s="67" t="s">
        <v>454</v>
      </c>
      <c r="C13" s="67" t="s">
        <v>453</v>
      </c>
      <c r="D13" s="67" t="s">
        <v>452</v>
      </c>
      <c r="E13" s="67" t="s">
        <v>451</v>
      </c>
      <c r="F13" s="67" t="s">
        <v>450</v>
      </c>
      <c r="G13" s="67" t="s">
        <v>449</v>
      </c>
    </row>
    <row r="14" spans="1:7" x14ac:dyDescent="0.3">
      <c r="A14" s="66" t="s">
        <v>54</v>
      </c>
      <c r="B14" s="66" t="s">
        <v>448</v>
      </c>
    </row>
  </sheetData>
  <mergeCells count="1">
    <mergeCell ref="A10:A12"/>
  </mergeCells>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B9A2E-2341-46A1-A18C-3BE092490ECD}">
  <dimension ref="A1:G14"/>
  <sheetViews>
    <sheetView topLeftCell="B9" workbookViewId="0">
      <selection activeCell="C14" sqref="C14"/>
    </sheetView>
  </sheetViews>
  <sheetFormatPr defaultColWidth="9" defaultRowHeight="13.5" x14ac:dyDescent="0.3"/>
  <cols>
    <col min="1" max="1" width="24.19921875" style="65" customWidth="1"/>
    <col min="2" max="2" width="25.46484375" style="65" customWidth="1"/>
    <col min="3" max="3" width="26.796875" style="65" customWidth="1"/>
    <col min="4" max="4" width="25.06640625" style="65" customWidth="1"/>
    <col min="5" max="5" width="29" style="65" customWidth="1"/>
    <col min="6" max="6" width="23" style="65" customWidth="1"/>
    <col min="7" max="7" width="22.33203125" style="65" customWidth="1"/>
    <col min="8" max="16384" width="9" style="65"/>
  </cols>
  <sheetData>
    <row r="1" spans="1:7" x14ac:dyDescent="0.3">
      <c r="A1" s="66" t="s">
        <v>0</v>
      </c>
      <c r="B1" s="66" t="s">
        <v>545</v>
      </c>
    </row>
    <row r="2" spans="1:7" x14ac:dyDescent="0.3">
      <c r="A2" s="66" t="s">
        <v>2</v>
      </c>
      <c r="B2" s="66" t="s">
        <v>544</v>
      </c>
    </row>
    <row r="3" spans="1:7" x14ac:dyDescent="0.3">
      <c r="A3" s="66" t="s">
        <v>4</v>
      </c>
      <c r="B3" s="66" t="s">
        <v>60</v>
      </c>
    </row>
    <row r="4" spans="1:7" x14ac:dyDescent="0.3">
      <c r="A4" s="66" t="s">
        <v>6</v>
      </c>
      <c r="B4" s="66" t="s">
        <v>543</v>
      </c>
    </row>
    <row r="5" spans="1:7" x14ac:dyDescent="0.3">
      <c r="A5" s="66" t="s">
        <v>8</v>
      </c>
      <c r="B5" s="66" t="s">
        <v>542</v>
      </c>
      <c r="C5" s="66" t="s">
        <v>541</v>
      </c>
      <c r="D5" s="66" t="s">
        <v>540</v>
      </c>
      <c r="E5" s="66" t="s">
        <v>539</v>
      </c>
      <c r="F5" s="66" t="s">
        <v>538</v>
      </c>
      <c r="G5" s="66" t="s">
        <v>537</v>
      </c>
    </row>
    <row r="6" spans="1:7" x14ac:dyDescent="0.3">
      <c r="A6" s="66" t="s">
        <v>15</v>
      </c>
      <c r="B6" s="66" t="s">
        <v>536</v>
      </c>
      <c r="C6" s="66" t="s">
        <v>535</v>
      </c>
      <c r="D6" s="66" t="s">
        <v>534</v>
      </c>
      <c r="E6" s="66" t="s">
        <v>533</v>
      </c>
      <c r="F6" s="66" t="s">
        <v>532</v>
      </c>
      <c r="G6" s="66" t="s">
        <v>531</v>
      </c>
    </row>
    <row r="7" spans="1:7" ht="112.05" customHeight="1" x14ac:dyDescent="0.3">
      <c r="A7" s="67" t="s">
        <v>24</v>
      </c>
      <c r="B7" s="67" t="s">
        <v>530</v>
      </c>
      <c r="C7" s="67" t="s">
        <v>529</v>
      </c>
      <c r="D7" s="67" t="s">
        <v>528</v>
      </c>
      <c r="E7" s="67" t="s">
        <v>527</v>
      </c>
      <c r="F7" s="67" t="s">
        <v>526</v>
      </c>
      <c r="G7" s="67" t="s">
        <v>525</v>
      </c>
    </row>
    <row r="8" spans="1:7" x14ac:dyDescent="0.3">
      <c r="A8" s="66" t="s">
        <v>22</v>
      </c>
      <c r="B8" s="66" t="s">
        <v>23</v>
      </c>
      <c r="C8" s="66" t="s">
        <v>23</v>
      </c>
      <c r="D8" s="66" t="s">
        <v>23</v>
      </c>
      <c r="E8" s="66" t="s">
        <v>23</v>
      </c>
      <c r="F8" s="66" t="s">
        <v>425</v>
      </c>
      <c r="G8" s="66" t="s">
        <v>23</v>
      </c>
    </row>
    <row r="9" spans="1:7" ht="42" customHeight="1" x14ac:dyDescent="0.3">
      <c r="A9" s="67" t="s">
        <v>41</v>
      </c>
      <c r="B9" s="67" t="s">
        <v>524</v>
      </c>
      <c r="C9" s="67" t="s">
        <v>523</v>
      </c>
      <c r="D9" s="67" t="s">
        <v>522</v>
      </c>
      <c r="E9" s="67" t="s">
        <v>521</v>
      </c>
      <c r="F9" s="67" t="s">
        <v>520</v>
      </c>
      <c r="G9" s="67" t="s">
        <v>519</v>
      </c>
    </row>
    <row r="10" spans="1:7" ht="84" customHeight="1" x14ac:dyDescent="0.3">
      <c r="A10" s="69" t="s">
        <v>47</v>
      </c>
      <c r="B10" s="67" t="s">
        <v>223</v>
      </c>
      <c r="C10" s="67" t="s">
        <v>518</v>
      </c>
      <c r="D10" s="67" t="s">
        <v>517</v>
      </c>
      <c r="E10" s="67" t="s">
        <v>516</v>
      </c>
      <c r="F10" s="67" t="s">
        <v>515</v>
      </c>
      <c r="G10" s="67" t="s">
        <v>514</v>
      </c>
    </row>
    <row r="11" spans="1:7" ht="56" customHeight="1" x14ac:dyDescent="0.3">
      <c r="A11" s="68"/>
      <c r="B11" s="67" t="s">
        <v>224</v>
      </c>
      <c r="C11" s="67" t="s">
        <v>513</v>
      </c>
      <c r="D11" s="67" t="s">
        <v>512</v>
      </c>
      <c r="E11" s="67" t="s">
        <v>511</v>
      </c>
      <c r="F11" s="67" t="s">
        <v>510</v>
      </c>
      <c r="G11" s="67" t="s">
        <v>509</v>
      </c>
    </row>
    <row r="12" spans="1:7" ht="56" customHeight="1" x14ac:dyDescent="0.3">
      <c r="A12" s="68"/>
      <c r="B12" s="67" t="s">
        <v>225</v>
      </c>
      <c r="C12" s="67" t="s">
        <v>508</v>
      </c>
      <c r="D12" s="67" t="s">
        <v>507</v>
      </c>
      <c r="E12" s="67" t="s">
        <v>506</v>
      </c>
      <c r="F12" s="67" t="s">
        <v>505</v>
      </c>
      <c r="G12" s="67" t="s">
        <v>504</v>
      </c>
    </row>
    <row r="13" spans="1:7" ht="42" customHeight="1" x14ac:dyDescent="0.3">
      <c r="A13" s="67" t="s">
        <v>48</v>
      </c>
      <c r="B13" s="67" t="s">
        <v>503</v>
      </c>
      <c r="C13" s="67" t="s">
        <v>502</v>
      </c>
      <c r="D13" s="67" t="s">
        <v>501</v>
      </c>
      <c r="E13" s="67" t="s">
        <v>500</v>
      </c>
      <c r="F13" s="67" t="s">
        <v>499</v>
      </c>
      <c r="G13" s="67" t="s">
        <v>498</v>
      </c>
    </row>
    <row r="14" spans="1:7" x14ac:dyDescent="0.3">
      <c r="A14" s="66" t="s">
        <v>54</v>
      </c>
      <c r="B14" s="66" t="s">
        <v>448</v>
      </c>
    </row>
  </sheetData>
  <mergeCells count="1">
    <mergeCell ref="A10:A12"/>
  </mergeCells>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topLeftCell="A10" zoomScale="62" zoomScaleNormal="100" workbookViewId="0">
      <selection activeCell="J15" sqref="J15"/>
    </sheetView>
  </sheetViews>
  <sheetFormatPr defaultColWidth="9" defaultRowHeight="13.5" x14ac:dyDescent="0.3"/>
  <cols>
    <col min="1" max="1" width="21.9296875" style="29" customWidth="1"/>
    <col min="2" max="2" width="31.796875" style="29" customWidth="1"/>
    <col min="3" max="3" width="29.6640625" style="29" customWidth="1"/>
    <col min="4" max="4" width="31.796875" style="29" customWidth="1"/>
    <col min="5" max="5" width="34.6640625" style="29" bestFit="1" customWidth="1"/>
    <col min="6" max="6" width="32.86328125" style="29" customWidth="1"/>
    <col min="7" max="7" width="32.86328125" customWidth="1"/>
  </cols>
  <sheetData>
    <row r="1" spans="1:12" x14ac:dyDescent="0.3">
      <c r="A1" s="1" t="s">
        <v>0</v>
      </c>
      <c r="B1" s="42" t="s">
        <v>1</v>
      </c>
      <c r="C1" s="43"/>
      <c r="D1" s="43"/>
      <c r="E1" s="43"/>
      <c r="F1" s="43"/>
      <c r="G1" s="44"/>
    </row>
    <row r="2" spans="1:12" x14ac:dyDescent="0.3">
      <c r="A2" s="1" t="s">
        <v>2</v>
      </c>
      <c r="B2" s="54" t="s">
        <v>3</v>
      </c>
      <c r="C2" s="46"/>
      <c r="D2" s="46"/>
      <c r="E2" s="46"/>
      <c r="F2" s="46"/>
      <c r="G2" s="47"/>
    </row>
    <row r="3" spans="1:12" x14ac:dyDescent="0.3">
      <c r="A3" s="1" t="s">
        <v>4</v>
      </c>
      <c r="B3" s="54" t="s">
        <v>5</v>
      </c>
      <c r="C3" s="46"/>
      <c r="D3" s="46"/>
      <c r="E3" s="46"/>
      <c r="F3" s="46"/>
      <c r="G3" s="47"/>
    </row>
    <row r="4" spans="1:12" ht="92.65" customHeight="1" x14ac:dyDescent="0.3">
      <c r="A4" s="1" t="s">
        <v>6</v>
      </c>
      <c r="B4" s="45" t="s">
        <v>7</v>
      </c>
      <c r="C4" s="46"/>
      <c r="D4" s="46"/>
      <c r="E4" s="46"/>
      <c r="F4" s="46"/>
      <c r="G4" s="47"/>
    </row>
    <row r="5" spans="1:12" x14ac:dyDescent="0.3">
      <c r="A5" s="1" t="s">
        <v>8</v>
      </c>
      <c r="B5" s="6" t="s">
        <v>9</v>
      </c>
      <c r="C5" s="3" t="s">
        <v>10</v>
      </c>
      <c r="D5" s="3" t="s">
        <v>11</v>
      </c>
      <c r="E5" s="3" t="s">
        <v>12</v>
      </c>
      <c r="F5" s="3" t="s">
        <v>13</v>
      </c>
      <c r="G5" s="7" t="s">
        <v>14</v>
      </c>
      <c r="H5" s="1"/>
      <c r="I5" s="1"/>
    </row>
    <row r="6" spans="1:12" ht="67.5" customHeight="1" x14ac:dyDescent="0.3">
      <c r="A6" s="1" t="s">
        <v>15</v>
      </c>
      <c r="B6" s="8" t="s">
        <v>16</v>
      </c>
      <c r="C6" s="4" t="s">
        <v>17</v>
      </c>
      <c r="D6" s="4" t="s">
        <v>18</v>
      </c>
      <c r="E6" s="4" t="s">
        <v>19</v>
      </c>
      <c r="F6" s="4" t="s">
        <v>20</v>
      </c>
      <c r="G6" s="9" t="s">
        <v>21</v>
      </c>
    </row>
    <row r="7" spans="1:12" x14ac:dyDescent="0.3">
      <c r="A7" s="1" t="s">
        <v>22</v>
      </c>
      <c r="B7" s="6" t="s">
        <v>23</v>
      </c>
      <c r="C7" s="6" t="s">
        <v>23</v>
      </c>
      <c r="D7" s="6" t="s">
        <v>23</v>
      </c>
      <c r="E7" s="6" t="s">
        <v>23</v>
      </c>
      <c r="F7" s="6" t="s">
        <v>23</v>
      </c>
      <c r="G7" s="6" t="s">
        <v>23</v>
      </c>
      <c r="H7" s="1"/>
      <c r="I7" s="1"/>
      <c r="J7" s="1"/>
      <c r="K7" s="1"/>
      <c r="L7" s="1"/>
    </row>
    <row r="8" spans="1:12" ht="126.4" customHeight="1" x14ac:dyDescent="0.3">
      <c r="A8" s="48" t="s">
        <v>24</v>
      </c>
      <c r="B8" s="4" t="s">
        <v>309</v>
      </c>
      <c r="C8" s="4" t="s">
        <v>25</v>
      </c>
      <c r="D8" s="4" t="s">
        <v>26</v>
      </c>
      <c r="E8" s="4" t="s">
        <v>27</v>
      </c>
      <c r="F8" s="2" t="s">
        <v>28</v>
      </c>
      <c r="G8" s="9" t="s">
        <v>29</v>
      </c>
      <c r="H8" s="1"/>
      <c r="I8" s="1"/>
      <c r="J8" s="1"/>
      <c r="K8" s="1"/>
      <c r="L8" s="1"/>
    </row>
    <row r="9" spans="1:12" ht="110.65" customHeight="1" x14ac:dyDescent="0.3">
      <c r="A9" s="55"/>
      <c r="B9" s="8" t="s">
        <v>30</v>
      </c>
      <c r="C9" s="4" t="s">
        <v>31</v>
      </c>
      <c r="D9" s="4" t="s">
        <v>32</v>
      </c>
      <c r="E9" s="4" t="s">
        <v>320</v>
      </c>
      <c r="F9" s="2" t="s">
        <v>33</v>
      </c>
      <c r="G9" s="10"/>
    </row>
    <row r="10" spans="1:12" ht="110.65" customHeight="1" x14ac:dyDescent="0.3">
      <c r="A10" s="55"/>
      <c r="B10" s="8" t="s">
        <v>34</v>
      </c>
      <c r="C10" s="4" t="s">
        <v>317</v>
      </c>
      <c r="D10" s="4" t="s">
        <v>35</v>
      </c>
      <c r="E10" s="4" t="s">
        <v>36</v>
      </c>
      <c r="F10" s="2" t="s">
        <v>37</v>
      </c>
      <c r="G10" s="10"/>
      <c r="J10" s="1"/>
    </row>
    <row r="11" spans="1:12" ht="75.75" customHeight="1" x14ac:dyDescent="0.3">
      <c r="A11" s="55"/>
      <c r="B11" s="6" t="s">
        <v>38</v>
      </c>
      <c r="C11" s="5"/>
      <c r="D11" s="2" t="s">
        <v>39</v>
      </c>
      <c r="E11" s="5"/>
      <c r="F11" s="2" t="s">
        <v>40</v>
      </c>
      <c r="G11" s="10"/>
      <c r="J11" s="11"/>
    </row>
    <row r="12" spans="1:12" ht="42.4" customHeight="1" x14ac:dyDescent="0.3">
      <c r="A12" s="1" t="s">
        <v>41</v>
      </c>
      <c r="B12" s="8" t="s">
        <v>42</v>
      </c>
      <c r="C12" s="2" t="s">
        <v>43</v>
      </c>
      <c r="D12" s="2" t="s">
        <v>44</v>
      </c>
      <c r="E12" s="4" t="s">
        <v>45</v>
      </c>
      <c r="F12" s="2" t="s">
        <v>46</v>
      </c>
      <c r="G12" s="10"/>
      <c r="J12" s="12"/>
    </row>
    <row r="13" spans="1:12" ht="97.15" customHeight="1" thickBot="1" x14ac:dyDescent="0.35">
      <c r="A13" s="48" t="s">
        <v>47</v>
      </c>
      <c r="B13" s="37" t="s">
        <v>314</v>
      </c>
      <c r="C13" s="2" t="s">
        <v>318</v>
      </c>
      <c r="D13" s="25" t="s">
        <v>291</v>
      </c>
      <c r="E13" s="2" t="s">
        <v>321</v>
      </c>
      <c r="F13" s="2" t="s">
        <v>323</v>
      </c>
      <c r="G13" s="21" t="s">
        <v>322</v>
      </c>
      <c r="J13" s="12"/>
    </row>
    <row r="14" spans="1:12" ht="75.75" customHeight="1" thickBot="1" x14ac:dyDescent="0.35">
      <c r="A14" s="48"/>
      <c r="B14" s="37" t="s">
        <v>315</v>
      </c>
      <c r="C14" s="2"/>
      <c r="D14" s="25" t="s">
        <v>319</v>
      </c>
      <c r="E14" s="2"/>
      <c r="F14" s="2"/>
      <c r="G14" s="21"/>
      <c r="J14" s="12"/>
    </row>
    <row r="15" spans="1:12" ht="69" customHeight="1" x14ac:dyDescent="0.3">
      <c r="A15" s="48"/>
      <c r="B15" s="37" t="s">
        <v>316</v>
      </c>
      <c r="C15" s="2"/>
      <c r="D15" s="2"/>
      <c r="E15" s="2"/>
      <c r="F15" s="2"/>
      <c r="G15" s="21"/>
      <c r="J15" s="12"/>
    </row>
    <row r="16" spans="1:12" ht="42.4" customHeight="1" x14ac:dyDescent="0.3">
      <c r="A16" s="48"/>
      <c r="B16" s="37"/>
      <c r="C16" s="2"/>
      <c r="D16" s="2"/>
      <c r="E16" s="37"/>
      <c r="F16" s="2"/>
      <c r="G16" s="38"/>
      <c r="J16" s="12"/>
    </row>
    <row r="17" spans="1:12" ht="48" customHeight="1" x14ac:dyDescent="0.3">
      <c r="A17" s="48"/>
      <c r="B17" s="49" t="s">
        <v>308</v>
      </c>
      <c r="C17" s="46"/>
      <c r="D17" s="46"/>
      <c r="E17" s="46"/>
      <c r="F17" s="46"/>
      <c r="G17" s="50"/>
      <c r="H17" s="1"/>
      <c r="I17" s="1"/>
      <c r="J17" s="12"/>
      <c r="K17" s="1"/>
      <c r="L17" s="1"/>
    </row>
    <row r="18" spans="1:12" ht="162" customHeight="1" x14ac:dyDescent="0.3">
      <c r="A18" t="s">
        <v>48</v>
      </c>
      <c r="B18" s="8" t="s">
        <v>49</v>
      </c>
      <c r="C18" s="4" t="s">
        <v>50</v>
      </c>
      <c r="D18" s="4" t="s">
        <v>51</v>
      </c>
      <c r="E18" s="4" t="s">
        <v>52</v>
      </c>
      <c r="F18" s="4" t="s">
        <v>53</v>
      </c>
      <c r="G18" s="7"/>
      <c r="H18" s="1"/>
      <c r="I18" s="1"/>
      <c r="J18" s="12"/>
      <c r="K18" s="1"/>
      <c r="L18" s="1"/>
    </row>
    <row r="19" spans="1:12" ht="13.9" customHeight="1" thickBot="1" x14ac:dyDescent="0.35">
      <c r="A19" t="s">
        <v>54</v>
      </c>
      <c r="B19" s="51" t="s">
        <v>55</v>
      </c>
      <c r="C19" s="52"/>
      <c r="D19" s="52"/>
      <c r="E19" s="52"/>
      <c r="F19" s="52"/>
      <c r="G19" s="53"/>
      <c r="J19" s="12"/>
    </row>
    <row r="20" spans="1:12" ht="45" customHeight="1" x14ac:dyDescent="0.3">
      <c r="A20" s="1" t="s">
        <v>56</v>
      </c>
      <c r="B20" s="1" t="s">
        <v>57</v>
      </c>
      <c r="J20" s="12"/>
    </row>
    <row r="21" spans="1:12" x14ac:dyDescent="0.3">
      <c r="J21" s="12"/>
    </row>
  </sheetData>
  <mergeCells count="8">
    <mergeCell ref="B1:G1"/>
    <mergeCell ref="B4:G4"/>
    <mergeCell ref="A13:A17"/>
    <mergeCell ref="B17:G17"/>
    <mergeCell ref="B19:G19"/>
    <mergeCell ref="B3:G3"/>
    <mergeCell ref="B2:G2"/>
    <mergeCell ref="A8:A11"/>
  </mergeCells>
  <phoneticPr fontId="1" type="noConversion"/>
  <pageMargins left="0.7" right="0.7" top="0.75" bottom="0.75" header="0.3" footer="0.3"/>
  <pageSetup paperSize="9" fitToWidth="0"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zoomScale="84" workbookViewId="0">
      <pane xSplit="1" ySplit="4" topLeftCell="B13" activePane="bottomRight" state="frozen"/>
      <selection pane="topRight"/>
      <selection pane="bottomLeft"/>
      <selection pane="bottomRight" activeCell="I13" sqref="I13"/>
    </sheetView>
  </sheetViews>
  <sheetFormatPr defaultColWidth="9" defaultRowHeight="13.5" x14ac:dyDescent="0.3"/>
  <cols>
    <col min="1" max="1" width="21.9296875" style="29" customWidth="1"/>
    <col min="2" max="2" width="20" style="29" customWidth="1"/>
    <col min="3" max="3" width="18.9296875" style="29" customWidth="1"/>
    <col min="4" max="4" width="21.33203125" style="29" customWidth="1"/>
    <col min="5" max="5" width="20.73046875" style="29" customWidth="1"/>
    <col min="6" max="6" width="17.59765625" style="29" customWidth="1"/>
    <col min="7" max="7" width="15.73046875" customWidth="1"/>
  </cols>
  <sheetData>
    <row r="1" spans="1:12" x14ac:dyDescent="0.3">
      <c r="A1" s="1" t="s">
        <v>0</v>
      </c>
      <c r="B1" s="56" t="s">
        <v>58</v>
      </c>
      <c r="C1" s="57"/>
      <c r="D1" s="57"/>
      <c r="E1" s="57"/>
      <c r="F1" s="57"/>
      <c r="G1" s="58"/>
    </row>
    <row r="2" spans="1:12" x14ac:dyDescent="0.3">
      <c r="A2" s="1" t="s">
        <v>2</v>
      </c>
      <c r="B2" s="59" t="s">
        <v>59</v>
      </c>
      <c r="C2" s="60"/>
      <c r="D2" s="60"/>
      <c r="E2" s="60"/>
      <c r="F2" s="60"/>
      <c r="G2" s="61"/>
    </row>
    <row r="3" spans="1:12" x14ac:dyDescent="0.3">
      <c r="A3" s="1" t="s">
        <v>4</v>
      </c>
      <c r="B3" s="59" t="s">
        <v>60</v>
      </c>
      <c r="C3" s="60"/>
      <c r="D3" s="60"/>
      <c r="E3" s="60"/>
      <c r="F3" s="60"/>
      <c r="G3" s="61"/>
    </row>
    <row r="4" spans="1:12" ht="148.5" customHeight="1" x14ac:dyDescent="0.3">
      <c r="A4" s="1" t="s">
        <v>6</v>
      </c>
      <c r="B4" s="62" t="s">
        <v>61</v>
      </c>
      <c r="C4" s="63"/>
      <c r="D4" s="63"/>
      <c r="E4" s="63"/>
      <c r="F4" s="63"/>
      <c r="G4" s="64"/>
    </row>
    <row r="5" spans="1:12" x14ac:dyDescent="0.3">
      <c r="A5" s="1" t="s">
        <v>8</v>
      </c>
      <c r="B5" s="6" t="s">
        <v>62</v>
      </c>
      <c r="C5" s="3" t="s">
        <v>63</v>
      </c>
      <c r="D5" s="3" t="s">
        <v>64</v>
      </c>
      <c r="E5" s="3" t="s">
        <v>65</v>
      </c>
      <c r="F5" s="3" t="s">
        <v>66</v>
      </c>
      <c r="G5" s="7" t="s">
        <v>67</v>
      </c>
      <c r="H5" s="1"/>
      <c r="I5" s="1"/>
    </row>
    <row r="6" spans="1:12" ht="40.5" x14ac:dyDescent="0.3">
      <c r="A6" s="1" t="s">
        <v>15</v>
      </c>
      <c r="B6" s="8" t="s">
        <v>68</v>
      </c>
      <c r="C6" s="4" t="s">
        <v>69</v>
      </c>
      <c r="D6" s="4" t="s">
        <v>70</v>
      </c>
      <c r="E6" s="4" t="s">
        <v>71</v>
      </c>
      <c r="F6" s="4" t="s">
        <v>72</v>
      </c>
      <c r="G6" s="9" t="s">
        <v>73</v>
      </c>
    </row>
    <row r="7" spans="1:12" x14ac:dyDescent="0.3">
      <c r="A7" s="1" t="s">
        <v>22</v>
      </c>
      <c r="B7" s="6" t="s">
        <v>23</v>
      </c>
      <c r="C7" s="6" t="s">
        <v>23</v>
      </c>
      <c r="D7" s="6" t="s">
        <v>23</v>
      </c>
      <c r="E7" s="6" t="s">
        <v>23</v>
      </c>
      <c r="F7" s="6" t="s">
        <v>23</v>
      </c>
      <c r="G7" s="6" t="s">
        <v>23</v>
      </c>
      <c r="H7" s="1"/>
      <c r="I7" s="1"/>
      <c r="J7" s="1"/>
      <c r="K7" s="1"/>
      <c r="L7" s="1"/>
    </row>
    <row r="8" spans="1:12" ht="54" x14ac:dyDescent="0.3">
      <c r="A8" s="14" t="s">
        <v>24</v>
      </c>
      <c r="B8" s="4" t="s">
        <v>74</v>
      </c>
      <c r="C8" s="4" t="s">
        <v>75</v>
      </c>
      <c r="D8" s="4" t="s">
        <v>76</v>
      </c>
      <c r="E8" s="4" t="s">
        <v>77</v>
      </c>
      <c r="F8" s="2" t="s">
        <v>78</v>
      </c>
      <c r="G8" s="9" t="s">
        <v>79</v>
      </c>
      <c r="H8" s="1"/>
      <c r="I8" s="1"/>
      <c r="J8" s="1"/>
      <c r="K8" s="1"/>
      <c r="L8" s="1"/>
    </row>
    <row r="9" spans="1:12" ht="54" x14ac:dyDescent="0.3">
      <c r="B9" s="8" t="s">
        <v>80</v>
      </c>
      <c r="C9" s="4" t="s">
        <v>81</v>
      </c>
      <c r="D9" s="4" t="s">
        <v>82</v>
      </c>
      <c r="E9" s="4" t="s">
        <v>83</v>
      </c>
      <c r="F9" s="2" t="s">
        <v>84</v>
      </c>
      <c r="G9" s="36" t="s">
        <v>85</v>
      </c>
    </row>
    <row r="10" spans="1:12" ht="54" x14ac:dyDescent="0.3">
      <c r="B10" s="8"/>
      <c r="C10" s="4"/>
      <c r="D10" s="4"/>
      <c r="E10" s="4"/>
      <c r="F10" s="2" t="s">
        <v>82</v>
      </c>
      <c r="G10" s="36" t="s">
        <v>86</v>
      </c>
      <c r="J10" s="1"/>
    </row>
    <row r="11" spans="1:12" ht="54" x14ac:dyDescent="0.3">
      <c r="A11" s="1" t="s">
        <v>41</v>
      </c>
      <c r="B11" s="8" t="s">
        <v>87</v>
      </c>
      <c r="C11" s="2" t="s">
        <v>88</v>
      </c>
      <c r="D11" s="2" t="s">
        <v>89</v>
      </c>
      <c r="E11" s="4" t="s">
        <v>90</v>
      </c>
      <c r="F11" s="2" t="s">
        <v>91</v>
      </c>
      <c r="G11" s="36" t="s">
        <v>92</v>
      </c>
      <c r="J11" s="12"/>
    </row>
    <row r="12" spans="1:12" ht="92.65" customHeight="1" x14ac:dyDescent="0.3">
      <c r="A12" s="1" t="s">
        <v>47</v>
      </c>
      <c r="B12" s="13" t="s">
        <v>328</v>
      </c>
      <c r="C12" s="39" t="s">
        <v>332</v>
      </c>
      <c r="D12" s="39" t="s">
        <v>336</v>
      </c>
      <c r="E12" s="40" t="s">
        <v>340</v>
      </c>
      <c r="F12" s="40" t="s">
        <v>344</v>
      </c>
      <c r="G12" s="40" t="s">
        <v>348</v>
      </c>
      <c r="H12" s="1"/>
      <c r="I12" s="1"/>
      <c r="J12" s="12"/>
      <c r="K12" s="1"/>
      <c r="L12" s="1"/>
    </row>
    <row r="13" spans="1:12" ht="121.5" x14ac:dyDescent="0.3">
      <c r="A13" t="s">
        <v>48</v>
      </c>
      <c r="B13" s="8" t="s">
        <v>93</v>
      </c>
      <c r="C13" s="4" t="s">
        <v>94</v>
      </c>
      <c r="D13" s="4" t="s">
        <v>95</v>
      </c>
      <c r="E13" s="4" t="s">
        <v>96</v>
      </c>
      <c r="F13" s="4" t="s">
        <v>97</v>
      </c>
      <c r="G13" s="35" t="s">
        <v>270</v>
      </c>
      <c r="H13" s="1"/>
      <c r="I13" s="1"/>
      <c r="J13" s="12"/>
      <c r="K13" s="1"/>
      <c r="L13" s="1"/>
    </row>
    <row r="14" spans="1:12" ht="13.9" thickBot="1" x14ac:dyDescent="0.35">
      <c r="A14" t="s">
        <v>54</v>
      </c>
      <c r="B14" s="30" t="s">
        <v>98</v>
      </c>
      <c r="C14" s="31" t="s">
        <v>99</v>
      </c>
      <c r="D14" s="31" t="s">
        <v>100</v>
      </c>
      <c r="E14" s="31" t="s">
        <v>101</v>
      </c>
      <c r="F14" s="31" t="s">
        <v>102</v>
      </c>
      <c r="G14" s="32" t="s">
        <v>103</v>
      </c>
      <c r="J14" s="12"/>
    </row>
    <row r="15" spans="1:12" x14ac:dyDescent="0.3">
      <c r="A15" s="1" t="s">
        <v>56</v>
      </c>
      <c r="B15" s="1" t="s">
        <v>104</v>
      </c>
      <c r="C15" t="s">
        <v>105</v>
      </c>
      <c r="D15" t="s">
        <v>106</v>
      </c>
      <c r="E15" t="s">
        <v>107</v>
      </c>
      <c r="F15" t="s">
        <v>108</v>
      </c>
      <c r="G15" t="s">
        <v>109</v>
      </c>
      <c r="J15" s="12"/>
    </row>
  </sheetData>
  <mergeCells count="4">
    <mergeCell ref="B1:G1"/>
    <mergeCell ref="B2:G2"/>
    <mergeCell ref="B3:G3"/>
    <mergeCell ref="B4:G4"/>
  </mergeCells>
  <phoneticPr fontId="1" type="noConversion"/>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6"/>
  <sheetViews>
    <sheetView zoomScale="70" workbookViewId="0">
      <pane xSplit="1" ySplit="4" topLeftCell="B13" activePane="bottomRight" state="frozen"/>
      <selection pane="topRight"/>
      <selection pane="bottomLeft"/>
      <selection pane="bottomRight" activeCell="C13" sqref="C13"/>
    </sheetView>
  </sheetViews>
  <sheetFormatPr defaultRowHeight="13.5" x14ac:dyDescent="0.3"/>
  <cols>
    <col min="1" max="1" width="21.9296875" style="29" customWidth="1"/>
    <col min="2" max="2" width="20" style="29" customWidth="1"/>
    <col min="3" max="3" width="18.9296875" style="29" customWidth="1"/>
    <col min="4" max="4" width="21.33203125" style="29" customWidth="1"/>
    <col min="5" max="5" width="20.73046875" style="29" customWidth="1"/>
    <col min="6" max="6" width="17.59765625" style="29" customWidth="1"/>
    <col min="7" max="7" width="18.33203125" customWidth="1"/>
  </cols>
  <sheetData>
    <row r="1" spans="1:12" x14ac:dyDescent="0.3">
      <c r="A1" s="1" t="s">
        <v>0</v>
      </c>
      <c r="B1" s="56" t="s">
        <v>110</v>
      </c>
      <c r="C1" s="57"/>
      <c r="D1" s="57"/>
      <c r="E1" s="57"/>
      <c r="F1" s="57"/>
      <c r="G1" s="58"/>
    </row>
    <row r="2" spans="1:12" x14ac:dyDescent="0.3">
      <c r="A2" s="1" t="s">
        <v>2</v>
      </c>
      <c r="B2" s="59" t="s">
        <v>111</v>
      </c>
      <c r="C2" s="60"/>
      <c r="D2" s="60"/>
      <c r="E2" s="60"/>
      <c r="F2" s="60"/>
      <c r="G2" s="61"/>
    </row>
    <row r="3" spans="1:12" x14ac:dyDescent="0.3">
      <c r="A3" s="1" t="s">
        <v>4</v>
      </c>
      <c r="B3" s="59" t="s">
        <v>60</v>
      </c>
      <c r="C3" s="60"/>
      <c r="D3" s="60"/>
      <c r="E3" s="60"/>
      <c r="F3" s="60"/>
      <c r="G3" s="61"/>
    </row>
    <row r="4" spans="1:12" ht="202.5" customHeight="1" x14ac:dyDescent="0.3">
      <c r="A4" s="1" t="s">
        <v>6</v>
      </c>
      <c r="B4" s="62" t="s">
        <v>112</v>
      </c>
      <c r="C4" s="63"/>
      <c r="D4" s="63"/>
      <c r="E4" s="63"/>
      <c r="F4" s="63"/>
      <c r="G4" s="64"/>
    </row>
    <row r="5" spans="1:12" x14ac:dyDescent="0.3">
      <c r="A5" s="1" t="s">
        <v>8</v>
      </c>
      <c r="B5" s="6" t="s">
        <v>113</v>
      </c>
      <c r="C5" s="3" t="s">
        <v>114</v>
      </c>
      <c r="D5" s="3" t="s">
        <v>115</v>
      </c>
      <c r="E5" s="3" t="s">
        <v>116</v>
      </c>
      <c r="F5" s="3" t="s">
        <v>117</v>
      </c>
      <c r="G5" s="7" t="s">
        <v>118</v>
      </c>
      <c r="H5" s="1"/>
      <c r="I5" s="1"/>
    </row>
    <row r="6" spans="1:12" ht="40.5" x14ac:dyDescent="0.3">
      <c r="A6" s="1" t="s">
        <v>15</v>
      </c>
      <c r="B6" s="8" t="s">
        <v>119</v>
      </c>
      <c r="C6" s="4" t="s">
        <v>120</v>
      </c>
      <c r="D6" s="4" t="s">
        <v>121</v>
      </c>
      <c r="E6" s="4" t="s">
        <v>122</v>
      </c>
      <c r="F6" s="4" t="s">
        <v>123</v>
      </c>
      <c r="G6" s="9" t="s">
        <v>124</v>
      </c>
    </row>
    <row r="7" spans="1:12" x14ac:dyDescent="0.3">
      <c r="A7" s="1" t="s">
        <v>22</v>
      </c>
      <c r="B7" s="6" t="s">
        <v>23</v>
      </c>
      <c r="C7" s="6" t="s">
        <v>23</v>
      </c>
      <c r="D7" s="6" t="s">
        <v>23</v>
      </c>
      <c r="E7" s="6" t="s">
        <v>23</v>
      </c>
      <c r="F7" s="6" t="s">
        <v>23</v>
      </c>
      <c r="G7" s="6" t="s">
        <v>23</v>
      </c>
      <c r="H7" s="1"/>
      <c r="I7" s="1"/>
      <c r="J7" s="1"/>
      <c r="K7" s="1"/>
      <c r="L7" s="1"/>
    </row>
    <row r="8" spans="1:12" ht="27" x14ac:dyDescent="0.3">
      <c r="A8" s="14" t="s">
        <v>24</v>
      </c>
      <c r="B8" s="4" t="s">
        <v>125</v>
      </c>
      <c r="C8" s="4" t="s">
        <v>126</v>
      </c>
      <c r="D8" s="4" t="s">
        <v>127</v>
      </c>
      <c r="E8" s="4" t="s">
        <v>128</v>
      </c>
      <c r="F8" s="2" t="s">
        <v>129</v>
      </c>
      <c r="G8" s="9" t="s">
        <v>130</v>
      </c>
      <c r="H8" s="1"/>
      <c r="I8" s="1"/>
      <c r="J8" s="1"/>
      <c r="K8" s="1"/>
      <c r="L8" s="1"/>
    </row>
    <row r="9" spans="1:12" ht="27" x14ac:dyDescent="0.3">
      <c r="B9" s="8" t="s">
        <v>131</v>
      </c>
      <c r="C9" s="4" t="s">
        <v>132</v>
      </c>
      <c r="D9" s="4" t="s">
        <v>133</v>
      </c>
      <c r="E9" s="4" t="s">
        <v>134</v>
      </c>
      <c r="F9" s="2" t="s">
        <v>135</v>
      </c>
      <c r="G9" s="10" t="s">
        <v>136</v>
      </c>
    </row>
    <row r="10" spans="1:12" ht="27" x14ac:dyDescent="0.3">
      <c r="B10" s="8"/>
      <c r="C10" s="4"/>
      <c r="D10" s="4" t="s">
        <v>137</v>
      </c>
      <c r="E10" s="4" t="s">
        <v>138</v>
      </c>
      <c r="F10" s="2" t="s">
        <v>139</v>
      </c>
      <c r="G10" s="10" t="s">
        <v>140</v>
      </c>
      <c r="J10" s="1"/>
    </row>
    <row r="11" spans="1:12" x14ac:dyDescent="0.3">
      <c r="B11" s="6"/>
      <c r="C11" s="5"/>
      <c r="D11" s="2"/>
      <c r="E11" s="5" t="s">
        <v>141</v>
      </c>
      <c r="F11" s="2"/>
      <c r="G11" s="10"/>
      <c r="J11" s="11"/>
    </row>
    <row r="12" spans="1:12" ht="40.5" x14ac:dyDescent="0.3">
      <c r="A12" s="1" t="s">
        <v>41</v>
      </c>
      <c r="B12" s="8" t="s">
        <v>142</v>
      </c>
      <c r="C12" s="2" t="s">
        <v>143</v>
      </c>
      <c r="D12" s="2" t="s">
        <v>144</v>
      </c>
      <c r="E12" s="4" t="s">
        <v>145</v>
      </c>
      <c r="F12" s="2" t="s">
        <v>146</v>
      </c>
      <c r="G12" s="10" t="s">
        <v>147</v>
      </c>
      <c r="J12" s="12"/>
    </row>
    <row r="13" spans="1:12" ht="115.25" customHeight="1" x14ac:dyDescent="0.3">
      <c r="A13" s="1" t="s">
        <v>47</v>
      </c>
      <c r="B13" s="13" t="s">
        <v>352</v>
      </c>
      <c r="C13" s="37" t="s">
        <v>356</v>
      </c>
      <c r="D13" s="37" t="s">
        <v>360</v>
      </c>
      <c r="E13" s="37" t="s">
        <v>364</v>
      </c>
      <c r="F13" s="37" t="s">
        <v>368</v>
      </c>
      <c r="G13" s="41" t="s">
        <v>372</v>
      </c>
      <c r="H13" s="1"/>
      <c r="I13" s="1"/>
      <c r="J13" s="12"/>
      <c r="K13" s="1"/>
      <c r="L13" s="1"/>
    </row>
    <row r="14" spans="1:12" ht="94.5" x14ac:dyDescent="0.3">
      <c r="A14" t="s">
        <v>48</v>
      </c>
      <c r="B14" s="8" t="s">
        <v>148</v>
      </c>
      <c r="C14" s="4" t="s">
        <v>149</v>
      </c>
      <c r="D14" s="4" t="s">
        <v>150</v>
      </c>
      <c r="E14" s="4" t="s">
        <v>151</v>
      </c>
      <c r="F14" s="4" t="s">
        <v>152</v>
      </c>
      <c r="G14" s="35" t="s">
        <v>271</v>
      </c>
      <c r="H14" s="1"/>
      <c r="I14" s="1"/>
      <c r="J14" s="12"/>
      <c r="K14" s="1"/>
      <c r="L14" s="1"/>
    </row>
    <row r="15" spans="1:12" ht="13.9" thickBot="1" x14ac:dyDescent="0.35">
      <c r="A15" t="s">
        <v>54</v>
      </c>
      <c r="B15" s="30" t="s">
        <v>153</v>
      </c>
      <c r="C15" s="31" t="s">
        <v>154</v>
      </c>
      <c r="D15" s="31" t="s">
        <v>155</v>
      </c>
      <c r="E15" s="31" t="s">
        <v>156</v>
      </c>
      <c r="F15" s="31" t="s">
        <v>157</v>
      </c>
      <c r="G15" s="32" t="s">
        <v>158</v>
      </c>
      <c r="J15" s="12"/>
    </row>
    <row r="16" spans="1:12" x14ac:dyDescent="0.3">
      <c r="A16" s="1" t="s">
        <v>56</v>
      </c>
      <c r="B16" s="1" t="s">
        <v>159</v>
      </c>
      <c r="C16" t="s">
        <v>160</v>
      </c>
      <c r="D16" t="s">
        <v>161</v>
      </c>
      <c r="E16" t="s">
        <v>162</v>
      </c>
      <c r="F16" t="s">
        <v>163</v>
      </c>
      <c r="G16" t="s">
        <v>164</v>
      </c>
      <c r="J16" s="12"/>
    </row>
  </sheetData>
  <mergeCells count="4">
    <mergeCell ref="B1:G1"/>
    <mergeCell ref="B2:G2"/>
    <mergeCell ref="B3:G3"/>
    <mergeCell ref="B4:G4"/>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5"/>
  <sheetViews>
    <sheetView workbookViewId="0">
      <pane xSplit="1" ySplit="4" topLeftCell="B12" activePane="bottomRight" state="frozen"/>
      <selection pane="topRight"/>
      <selection pane="bottomLeft"/>
      <selection pane="bottomRight" activeCell="G12" sqref="G12"/>
    </sheetView>
  </sheetViews>
  <sheetFormatPr defaultRowHeight="13.5" x14ac:dyDescent="0.3"/>
  <cols>
    <col min="1" max="1" width="21.9296875" style="29" customWidth="1"/>
    <col min="2" max="2" width="20" style="29" customWidth="1"/>
    <col min="3" max="3" width="18.9296875" style="29" customWidth="1"/>
    <col min="4" max="4" width="21.33203125" style="29" customWidth="1"/>
    <col min="5" max="5" width="20.73046875" style="29" customWidth="1"/>
    <col min="6" max="6" width="17.59765625" style="29" customWidth="1"/>
  </cols>
  <sheetData>
    <row r="1" spans="1:12" x14ac:dyDescent="0.3">
      <c r="A1" s="1" t="s">
        <v>0</v>
      </c>
      <c r="B1" s="56" t="s">
        <v>165</v>
      </c>
      <c r="C1" s="57"/>
      <c r="D1" s="57"/>
      <c r="E1" s="57"/>
      <c r="F1" s="57"/>
      <c r="G1" s="58"/>
    </row>
    <row r="2" spans="1:12" x14ac:dyDescent="0.3">
      <c r="A2" s="1" t="s">
        <v>2</v>
      </c>
      <c r="B2" s="59" t="s">
        <v>166</v>
      </c>
      <c r="C2" s="60"/>
      <c r="D2" s="60"/>
      <c r="E2" s="60"/>
      <c r="F2" s="60"/>
      <c r="G2" s="61"/>
    </row>
    <row r="3" spans="1:12" x14ac:dyDescent="0.3">
      <c r="A3" s="1" t="s">
        <v>4</v>
      </c>
      <c r="B3" s="59" t="s">
        <v>60</v>
      </c>
      <c r="C3" s="60"/>
      <c r="D3" s="60"/>
      <c r="E3" s="60"/>
      <c r="F3" s="60"/>
      <c r="G3" s="61"/>
    </row>
    <row r="4" spans="1:12" ht="162" customHeight="1" x14ac:dyDescent="0.3">
      <c r="A4" s="1" t="s">
        <v>6</v>
      </c>
      <c r="B4" s="62" t="s">
        <v>167</v>
      </c>
      <c r="C4" s="63"/>
      <c r="D4" s="63"/>
      <c r="E4" s="63"/>
      <c r="F4" s="63"/>
      <c r="G4" s="64"/>
    </row>
    <row r="5" spans="1:12" x14ac:dyDescent="0.3">
      <c r="A5" s="1" t="s">
        <v>8</v>
      </c>
      <c r="B5" s="6" t="s">
        <v>168</v>
      </c>
      <c r="C5" s="3" t="s">
        <v>169</v>
      </c>
      <c r="D5" s="3" t="s">
        <v>170</v>
      </c>
      <c r="E5" s="3" t="s">
        <v>171</v>
      </c>
      <c r="F5" s="3" t="s">
        <v>172</v>
      </c>
      <c r="G5" s="7" t="s">
        <v>173</v>
      </c>
      <c r="H5" s="1"/>
      <c r="I5" s="1"/>
    </row>
    <row r="6" spans="1:12" ht="67.5" x14ac:dyDescent="0.3">
      <c r="A6" s="1" t="s">
        <v>15</v>
      </c>
      <c r="B6" s="8" t="s">
        <v>174</v>
      </c>
      <c r="C6" s="4" t="s">
        <v>175</v>
      </c>
      <c r="D6" s="4" t="s">
        <v>176</v>
      </c>
      <c r="E6" s="4" t="s">
        <v>177</v>
      </c>
      <c r="F6" s="4" t="s">
        <v>178</v>
      </c>
      <c r="G6" s="9" t="s">
        <v>179</v>
      </c>
    </row>
    <row r="7" spans="1:12" x14ac:dyDescent="0.3">
      <c r="A7" s="1" t="s">
        <v>22</v>
      </c>
      <c r="B7" s="6" t="s">
        <v>23</v>
      </c>
      <c r="C7" s="6" t="s">
        <v>23</v>
      </c>
      <c r="D7" s="6" t="s">
        <v>23</v>
      </c>
      <c r="E7" s="6" t="s">
        <v>23</v>
      </c>
      <c r="F7" s="6" t="s">
        <v>23</v>
      </c>
      <c r="G7" s="6" t="s">
        <v>23</v>
      </c>
      <c r="H7" s="1"/>
      <c r="I7" s="1"/>
      <c r="J7" s="1"/>
      <c r="K7" s="1"/>
      <c r="L7" s="1"/>
    </row>
    <row r="8" spans="1:12" ht="67.5" x14ac:dyDescent="0.3">
      <c r="A8" s="14" t="s">
        <v>24</v>
      </c>
      <c r="B8" s="4" t="s">
        <v>180</v>
      </c>
      <c r="C8" s="4" t="s">
        <v>181</v>
      </c>
      <c r="D8" s="4" t="s">
        <v>182</v>
      </c>
      <c r="E8" s="4" t="s">
        <v>183</v>
      </c>
      <c r="F8" s="2" t="s">
        <v>184</v>
      </c>
      <c r="G8" s="9" t="s">
        <v>185</v>
      </c>
      <c r="H8" s="1"/>
      <c r="I8" s="1"/>
      <c r="J8" s="1"/>
      <c r="K8" s="1"/>
      <c r="L8" s="1"/>
    </row>
    <row r="9" spans="1:12" ht="40.5" x14ac:dyDescent="0.3">
      <c r="B9" s="8" t="s">
        <v>186</v>
      </c>
      <c r="C9" s="4" t="s">
        <v>187</v>
      </c>
      <c r="D9" s="4" t="s">
        <v>188</v>
      </c>
      <c r="E9" s="4" t="s">
        <v>189</v>
      </c>
      <c r="F9" s="2" t="s">
        <v>190</v>
      </c>
      <c r="G9" s="10" t="s">
        <v>191</v>
      </c>
    </row>
    <row r="10" spans="1:12" ht="27" x14ac:dyDescent="0.3">
      <c r="B10" s="8" t="s">
        <v>192</v>
      </c>
      <c r="C10" s="4"/>
      <c r="D10" s="4" t="s">
        <v>193</v>
      </c>
      <c r="E10" s="4" t="s">
        <v>194</v>
      </c>
      <c r="F10" s="2" t="s">
        <v>195</v>
      </c>
      <c r="G10" s="10" t="s">
        <v>196</v>
      </c>
      <c r="J10" s="1"/>
    </row>
    <row r="11" spans="1:12" ht="40.5" x14ac:dyDescent="0.3">
      <c r="A11" s="1" t="s">
        <v>41</v>
      </c>
      <c r="B11" s="8" t="s">
        <v>197</v>
      </c>
      <c r="C11" s="2" t="s">
        <v>198</v>
      </c>
      <c r="D11" s="2" t="s">
        <v>199</v>
      </c>
      <c r="E11" s="4" t="s">
        <v>200</v>
      </c>
      <c r="F11" s="2" t="s">
        <v>201</v>
      </c>
      <c r="G11" s="10" t="s">
        <v>202</v>
      </c>
      <c r="J11" s="12"/>
    </row>
    <row r="12" spans="1:12" ht="99" customHeight="1" x14ac:dyDescent="0.3">
      <c r="A12" s="1" t="s">
        <v>47</v>
      </c>
      <c r="B12" s="37" t="s">
        <v>376</v>
      </c>
      <c r="C12" s="37" t="s">
        <v>380</v>
      </c>
      <c r="D12" s="37" t="s">
        <v>384</v>
      </c>
      <c r="E12" s="37" t="s">
        <v>388</v>
      </c>
      <c r="F12" s="37" t="s">
        <v>392</v>
      </c>
      <c r="G12" s="37" t="s">
        <v>396</v>
      </c>
      <c r="H12" s="1"/>
      <c r="I12" s="1"/>
      <c r="J12" s="12"/>
      <c r="K12" s="1"/>
      <c r="L12" s="1"/>
    </row>
    <row r="13" spans="1:12" ht="121.5" x14ac:dyDescent="0.3">
      <c r="A13" t="s">
        <v>48</v>
      </c>
      <c r="B13" s="8" t="s">
        <v>203</v>
      </c>
      <c r="C13" s="4" t="s">
        <v>204</v>
      </c>
      <c r="D13" s="4" t="s">
        <v>205</v>
      </c>
      <c r="E13" s="4" t="s">
        <v>206</v>
      </c>
      <c r="F13" s="4" t="s">
        <v>207</v>
      </c>
      <c r="G13" s="9" t="s">
        <v>272</v>
      </c>
      <c r="H13" s="1"/>
      <c r="I13" s="1"/>
      <c r="J13" s="12"/>
      <c r="K13" s="1"/>
      <c r="L13" s="1"/>
    </row>
    <row r="14" spans="1:12" x14ac:dyDescent="0.3">
      <c r="A14" t="s">
        <v>54</v>
      </c>
      <c r="B14" s="30" t="s">
        <v>208</v>
      </c>
      <c r="C14" s="31" t="s">
        <v>209</v>
      </c>
      <c r="D14" s="31" t="s">
        <v>210</v>
      </c>
      <c r="E14" s="31" t="s">
        <v>211</v>
      </c>
      <c r="F14" s="31" t="s">
        <v>212</v>
      </c>
      <c r="G14" s="32" t="s">
        <v>213</v>
      </c>
      <c r="J14" s="12"/>
    </row>
    <row r="15" spans="1:12" x14ac:dyDescent="0.3">
      <c r="A15" s="1" t="s">
        <v>56</v>
      </c>
      <c r="B15" s="1" t="s">
        <v>214</v>
      </c>
      <c r="C15" t="s">
        <v>215</v>
      </c>
      <c r="D15" t="s">
        <v>216</v>
      </c>
      <c r="E15" t="s">
        <v>217</v>
      </c>
      <c r="F15" t="s">
        <v>218</v>
      </c>
      <c r="G15" t="s">
        <v>219</v>
      </c>
      <c r="J15" s="12"/>
    </row>
  </sheetData>
  <mergeCells count="4">
    <mergeCell ref="B1:G1"/>
    <mergeCell ref="B2:G2"/>
    <mergeCell ref="B3:G3"/>
    <mergeCell ref="B4:G4"/>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645F5-EC2C-4FEF-A4ED-9B2BFA0C33DD}">
  <dimension ref="A1:L21"/>
  <sheetViews>
    <sheetView zoomScale="118" zoomScaleNormal="118" workbookViewId="0">
      <selection activeCell="C8" sqref="C8:C13"/>
    </sheetView>
  </sheetViews>
  <sheetFormatPr defaultColWidth="9" defaultRowHeight="13.5" x14ac:dyDescent="0.3"/>
  <cols>
    <col min="1" max="1" width="21.9296875" style="70" customWidth="1"/>
    <col min="2" max="2" width="12.86328125" style="70" customWidth="1"/>
    <col min="3" max="16384" width="9" style="70"/>
  </cols>
  <sheetData>
    <row r="1" spans="1:12" x14ac:dyDescent="0.3">
      <c r="A1" s="70" t="s">
        <v>0</v>
      </c>
      <c r="B1" s="72" t="s">
        <v>633</v>
      </c>
      <c r="C1" s="72"/>
      <c r="D1" s="72"/>
      <c r="E1" s="72"/>
    </row>
    <row r="2" spans="1:12" x14ac:dyDescent="0.3">
      <c r="A2" s="70" t="s">
        <v>2</v>
      </c>
      <c r="B2" s="72" t="s">
        <v>632</v>
      </c>
      <c r="C2" s="72"/>
      <c r="D2" s="72"/>
      <c r="E2" s="72"/>
    </row>
    <row r="3" spans="1:12" x14ac:dyDescent="0.3">
      <c r="A3" s="70" t="s">
        <v>4</v>
      </c>
      <c r="B3" s="72" t="s">
        <v>631</v>
      </c>
      <c r="C3" s="72"/>
      <c r="D3" s="72"/>
      <c r="E3" s="72"/>
    </row>
    <row r="4" spans="1:12" x14ac:dyDescent="0.3">
      <c r="A4" s="70" t="s">
        <v>6</v>
      </c>
      <c r="B4" s="72" t="s">
        <v>630</v>
      </c>
      <c r="C4" s="72"/>
      <c r="D4" s="72"/>
      <c r="E4" s="72"/>
      <c r="F4" s="72"/>
      <c r="G4" s="72"/>
    </row>
    <row r="5" spans="1:12" x14ac:dyDescent="0.3">
      <c r="A5" s="70" t="s">
        <v>8</v>
      </c>
      <c r="B5" s="70" t="s">
        <v>629</v>
      </c>
      <c r="C5" s="70" t="s">
        <v>628</v>
      </c>
      <c r="D5" s="70" t="s">
        <v>627</v>
      </c>
      <c r="E5" s="70" t="s">
        <v>626</v>
      </c>
      <c r="F5" s="71" t="s">
        <v>625</v>
      </c>
      <c r="G5" s="71" t="s">
        <v>624</v>
      </c>
      <c r="H5" s="71"/>
      <c r="I5" s="71"/>
    </row>
    <row r="6" spans="1:12" x14ac:dyDescent="0.3">
      <c r="A6" s="70" t="s">
        <v>15</v>
      </c>
      <c r="B6" s="70" t="s">
        <v>623</v>
      </c>
      <c r="C6" s="70" t="s">
        <v>622</v>
      </c>
      <c r="D6" s="70" t="s">
        <v>621</v>
      </c>
      <c r="E6" s="70" t="s">
        <v>620</v>
      </c>
      <c r="F6" s="70" t="s">
        <v>619</v>
      </c>
      <c r="G6" s="70" t="s">
        <v>618</v>
      </c>
    </row>
    <row r="7" spans="1:12" x14ac:dyDescent="0.3">
      <c r="A7" s="70" t="s">
        <v>22</v>
      </c>
      <c r="B7" s="70" t="s">
        <v>617</v>
      </c>
      <c r="C7" s="70" t="s">
        <v>617</v>
      </c>
      <c r="D7" s="70" t="s">
        <v>23</v>
      </c>
      <c r="E7" s="70" t="s">
        <v>617</v>
      </c>
      <c r="F7" s="70" t="s">
        <v>23</v>
      </c>
      <c r="G7" s="70" t="s">
        <v>575</v>
      </c>
      <c r="H7" s="71"/>
      <c r="I7" s="71"/>
      <c r="J7" s="71"/>
      <c r="K7" s="71"/>
      <c r="L7" s="71"/>
    </row>
    <row r="8" spans="1:12" x14ac:dyDescent="0.3">
      <c r="A8" s="72" t="s">
        <v>24</v>
      </c>
      <c r="B8" s="72" t="s">
        <v>616</v>
      </c>
      <c r="C8" s="72" t="s">
        <v>615</v>
      </c>
      <c r="D8" s="72" t="s">
        <v>614</v>
      </c>
      <c r="E8" s="72" t="s">
        <v>613</v>
      </c>
      <c r="F8" s="72" t="s">
        <v>612</v>
      </c>
      <c r="G8" s="72" t="s">
        <v>611</v>
      </c>
      <c r="H8" s="71"/>
      <c r="I8" s="71"/>
      <c r="J8" s="71"/>
      <c r="K8" s="71"/>
      <c r="L8" s="71"/>
    </row>
    <row r="9" spans="1:12" x14ac:dyDescent="0.3">
      <c r="A9" s="72"/>
      <c r="B9" s="72"/>
      <c r="C9" s="72"/>
      <c r="D9" s="72"/>
      <c r="E9" s="72"/>
      <c r="F9" s="72"/>
      <c r="G9" s="72"/>
    </row>
    <row r="10" spans="1:12" x14ac:dyDescent="0.3">
      <c r="A10" s="72"/>
      <c r="B10" s="72"/>
      <c r="C10" s="72"/>
      <c r="D10" s="72"/>
      <c r="E10" s="72"/>
      <c r="F10" s="72"/>
      <c r="G10" s="72"/>
    </row>
    <row r="11" spans="1:12" x14ac:dyDescent="0.3">
      <c r="A11" s="72"/>
      <c r="B11" s="72"/>
      <c r="C11" s="72"/>
      <c r="D11" s="72"/>
      <c r="E11" s="72"/>
      <c r="F11" s="72"/>
      <c r="G11" s="72"/>
    </row>
    <row r="12" spans="1:12" x14ac:dyDescent="0.3">
      <c r="A12" s="72"/>
      <c r="B12" s="72"/>
      <c r="C12" s="72"/>
      <c r="D12" s="72"/>
      <c r="E12" s="72"/>
      <c r="F12" s="72"/>
      <c r="G12" s="72"/>
    </row>
    <row r="13" spans="1:12" x14ac:dyDescent="0.3">
      <c r="A13" s="72"/>
      <c r="B13" s="72"/>
      <c r="C13" s="72"/>
      <c r="D13" s="72"/>
      <c r="E13" s="72"/>
      <c r="F13" s="72"/>
      <c r="G13" s="72"/>
    </row>
    <row r="14" spans="1:12" x14ac:dyDescent="0.3">
      <c r="A14" s="70" t="s">
        <v>41</v>
      </c>
      <c r="B14" s="70" t="s">
        <v>604</v>
      </c>
      <c r="C14" s="70" t="s">
        <v>603</v>
      </c>
      <c r="D14" s="70" t="s">
        <v>602</v>
      </c>
      <c r="E14" s="70" t="s">
        <v>601</v>
      </c>
      <c r="F14" s="70" t="s">
        <v>600</v>
      </c>
      <c r="G14" s="70" t="s">
        <v>599</v>
      </c>
    </row>
    <row r="15" spans="1:12" x14ac:dyDescent="0.3">
      <c r="A15" s="70" t="s">
        <v>47</v>
      </c>
      <c r="B15" s="70" t="s">
        <v>610</v>
      </c>
      <c r="C15" s="70" t="s">
        <v>609</v>
      </c>
      <c r="D15" s="70" t="s">
        <v>608</v>
      </c>
      <c r="E15" s="70" t="s">
        <v>607</v>
      </c>
      <c r="F15" s="70" t="s">
        <v>606</v>
      </c>
      <c r="G15" s="70" t="s">
        <v>605</v>
      </c>
      <c r="H15" s="71"/>
      <c r="I15" s="71"/>
      <c r="J15" s="71"/>
      <c r="K15" s="71"/>
      <c r="L15" s="71"/>
    </row>
    <row r="16" spans="1:12" x14ac:dyDescent="0.3">
      <c r="A16" s="70" t="s">
        <v>48</v>
      </c>
      <c r="B16" s="70" t="s">
        <v>604</v>
      </c>
      <c r="C16" s="70" t="s">
        <v>603</v>
      </c>
      <c r="D16" s="70" t="s">
        <v>602</v>
      </c>
      <c r="E16" s="70" t="s">
        <v>601</v>
      </c>
      <c r="F16" s="70" t="s">
        <v>600</v>
      </c>
      <c r="G16" s="70" t="s">
        <v>599</v>
      </c>
    </row>
    <row r="17" spans="1:2" x14ac:dyDescent="0.3">
      <c r="A17" s="70" t="s">
        <v>54</v>
      </c>
      <c r="B17" s="70" t="s">
        <v>55</v>
      </c>
    </row>
    <row r="21" spans="1:2" x14ac:dyDescent="0.3">
      <c r="A21" s="70" t="s">
        <v>598</v>
      </c>
    </row>
  </sheetData>
  <mergeCells count="11">
    <mergeCell ref="G8:G13"/>
    <mergeCell ref="B1:E1"/>
    <mergeCell ref="B2:E2"/>
    <mergeCell ref="B3:E3"/>
    <mergeCell ref="B4:G4"/>
    <mergeCell ref="A8:A13"/>
    <mergeCell ref="B8:B13"/>
    <mergeCell ref="C8:C13"/>
    <mergeCell ref="D8:D13"/>
    <mergeCell ref="E8:E13"/>
    <mergeCell ref="F8:F13"/>
  </mergeCells>
  <phoneticPr fontId="1" type="noConversion"/>
  <pageMargins left="0.7" right="0.7" top="0.75" bottom="0.75" header="0.3" footer="0.3"/>
  <pageSetup paperSize="9" fitToWidth="0" fitToHeight="0" orientation="portrait"/>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1A106-9A95-4480-BF6D-F995C13004D9}">
  <dimension ref="A1:H17"/>
  <sheetViews>
    <sheetView workbookViewId="0">
      <selection activeCell="C8" sqref="C8:C13"/>
    </sheetView>
  </sheetViews>
  <sheetFormatPr defaultColWidth="9" defaultRowHeight="13.5" x14ac:dyDescent="0.3"/>
  <cols>
    <col min="1" max="16384" width="9" style="70"/>
  </cols>
  <sheetData>
    <row r="1" spans="1:8" x14ac:dyDescent="0.3">
      <c r="A1" s="70" t="s">
        <v>0</v>
      </c>
      <c r="C1" s="70" t="s">
        <v>672</v>
      </c>
    </row>
    <row r="2" spans="1:8" x14ac:dyDescent="0.3">
      <c r="A2" s="70" t="s">
        <v>2</v>
      </c>
      <c r="C2" s="73" t="s">
        <v>671</v>
      </c>
    </row>
    <row r="3" spans="1:8" x14ac:dyDescent="0.3">
      <c r="A3" s="70" t="s">
        <v>4</v>
      </c>
      <c r="C3" s="73" t="s">
        <v>631</v>
      </c>
    </row>
    <row r="4" spans="1:8" x14ac:dyDescent="0.3">
      <c r="A4" s="70" t="s">
        <v>6</v>
      </c>
      <c r="C4" s="73" t="s">
        <v>670</v>
      </c>
    </row>
    <row r="5" spans="1:8" x14ac:dyDescent="0.3">
      <c r="A5" s="70" t="s">
        <v>8</v>
      </c>
      <c r="C5" s="70" t="s">
        <v>669</v>
      </c>
      <c r="D5" s="70" t="s">
        <v>668</v>
      </c>
      <c r="E5" s="70" t="s">
        <v>667</v>
      </c>
      <c r="F5" s="70" t="s">
        <v>666</v>
      </c>
      <c r="G5" s="70" t="s">
        <v>665</v>
      </c>
      <c r="H5" s="70" t="s">
        <v>664</v>
      </c>
    </row>
    <row r="6" spans="1:8" x14ac:dyDescent="0.3">
      <c r="A6" s="70" t="s">
        <v>15</v>
      </c>
      <c r="C6" s="70" t="s">
        <v>663</v>
      </c>
      <c r="D6" s="70" t="s">
        <v>662</v>
      </c>
      <c r="E6" s="70" t="s">
        <v>661</v>
      </c>
      <c r="F6" s="70" t="s">
        <v>660</v>
      </c>
      <c r="G6" s="70" t="s">
        <v>659</v>
      </c>
      <c r="H6" s="70" t="s">
        <v>658</v>
      </c>
    </row>
    <row r="7" spans="1:8" x14ac:dyDescent="0.3">
      <c r="A7" s="70" t="s">
        <v>22</v>
      </c>
      <c r="C7" s="70" t="s">
        <v>23</v>
      </c>
      <c r="D7" s="70" t="s">
        <v>23</v>
      </c>
      <c r="E7" s="70" t="s">
        <v>617</v>
      </c>
      <c r="F7" s="70" t="s">
        <v>617</v>
      </c>
      <c r="G7" s="70" t="s">
        <v>23</v>
      </c>
      <c r="H7" s="70" t="s">
        <v>425</v>
      </c>
    </row>
    <row r="8" spans="1:8" x14ac:dyDescent="0.3">
      <c r="A8" s="72" t="s">
        <v>24</v>
      </c>
      <c r="B8" s="72"/>
      <c r="C8" s="72" t="s">
        <v>657</v>
      </c>
      <c r="D8" s="72" t="s">
        <v>656</v>
      </c>
      <c r="E8" s="72" t="s">
        <v>655</v>
      </c>
      <c r="F8" s="72" t="s">
        <v>654</v>
      </c>
      <c r="G8" s="72" t="s">
        <v>653</v>
      </c>
      <c r="H8" s="72" t="s">
        <v>652</v>
      </c>
    </row>
    <row r="9" spans="1:8" x14ac:dyDescent="0.3">
      <c r="A9" s="72"/>
      <c r="B9" s="72"/>
      <c r="C9" s="72"/>
      <c r="D9" s="72"/>
      <c r="E9" s="72"/>
      <c r="F9" s="72"/>
      <c r="G9" s="72"/>
      <c r="H9" s="72"/>
    </row>
    <row r="10" spans="1:8" x14ac:dyDescent="0.3">
      <c r="A10" s="72"/>
      <c r="B10" s="72"/>
      <c r="C10" s="72"/>
      <c r="D10" s="72"/>
      <c r="E10" s="72"/>
      <c r="F10" s="72"/>
      <c r="G10" s="72"/>
      <c r="H10" s="72"/>
    </row>
    <row r="11" spans="1:8" x14ac:dyDescent="0.3">
      <c r="A11" s="72"/>
      <c r="B11" s="72"/>
      <c r="C11" s="72"/>
      <c r="D11" s="72"/>
      <c r="E11" s="72"/>
      <c r="F11" s="72"/>
      <c r="G11" s="72"/>
      <c r="H11" s="72"/>
    </row>
    <row r="12" spans="1:8" x14ac:dyDescent="0.3">
      <c r="A12" s="72"/>
      <c r="B12" s="72"/>
      <c r="C12" s="72"/>
      <c r="D12" s="72"/>
      <c r="E12" s="72"/>
      <c r="F12" s="72"/>
      <c r="G12" s="72"/>
      <c r="H12" s="72"/>
    </row>
    <row r="13" spans="1:8" x14ac:dyDescent="0.3">
      <c r="A13" s="72"/>
      <c r="B13" s="72"/>
      <c r="C13" s="72"/>
      <c r="D13" s="72"/>
      <c r="E13" s="72"/>
      <c r="F13" s="72"/>
      <c r="G13" s="72"/>
      <c r="H13" s="72"/>
    </row>
    <row r="14" spans="1:8" x14ac:dyDescent="0.3">
      <c r="A14" s="70" t="s">
        <v>41</v>
      </c>
      <c r="C14" s="70" t="s">
        <v>651</v>
      </c>
      <c r="D14" s="70" t="s">
        <v>650</v>
      </c>
      <c r="E14" s="70" t="s">
        <v>649</v>
      </c>
      <c r="F14" s="70" t="s">
        <v>648</v>
      </c>
      <c r="G14" s="70" t="s">
        <v>647</v>
      </c>
      <c r="H14" s="70" t="s">
        <v>646</v>
      </c>
    </row>
    <row r="15" spans="1:8" x14ac:dyDescent="0.3">
      <c r="A15" s="70" t="s">
        <v>47</v>
      </c>
      <c r="C15" s="70" t="s">
        <v>645</v>
      </c>
      <c r="D15" s="70" t="s">
        <v>644</v>
      </c>
      <c r="E15" s="70" t="s">
        <v>643</v>
      </c>
      <c r="F15" s="70" t="s">
        <v>642</v>
      </c>
      <c r="G15" s="70" t="s">
        <v>641</v>
      </c>
      <c r="H15" s="70" t="s">
        <v>640</v>
      </c>
    </row>
    <row r="16" spans="1:8" x14ac:dyDescent="0.3">
      <c r="A16" s="70" t="s">
        <v>48</v>
      </c>
      <c r="C16" s="70" t="s">
        <v>639</v>
      </c>
      <c r="D16" s="70" t="s">
        <v>638</v>
      </c>
      <c r="E16" s="70" t="s">
        <v>637</v>
      </c>
      <c r="F16" s="70" t="s">
        <v>636</v>
      </c>
      <c r="G16" s="70" t="s">
        <v>635</v>
      </c>
      <c r="H16" s="70" t="s">
        <v>634</v>
      </c>
    </row>
    <row r="17" spans="1:1" x14ac:dyDescent="0.3">
      <c r="A17" s="70" t="s">
        <v>54</v>
      </c>
    </row>
  </sheetData>
  <mergeCells count="7">
    <mergeCell ref="H8:H13"/>
    <mergeCell ref="A8:B13"/>
    <mergeCell ref="C8:C13"/>
    <mergeCell ref="D8:D13"/>
    <mergeCell ref="E8:E13"/>
    <mergeCell ref="F8:F13"/>
    <mergeCell ref="G8:G13"/>
  </mergeCells>
  <phoneticPr fontId="1" type="noConversion"/>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9C5C8-5BC2-44FE-851F-79B22F2B391B}">
  <dimension ref="A1:G17"/>
  <sheetViews>
    <sheetView workbookViewId="0">
      <selection activeCell="C8" sqref="C8:C13"/>
    </sheetView>
  </sheetViews>
  <sheetFormatPr defaultColWidth="9" defaultRowHeight="13.5" x14ac:dyDescent="0.3"/>
  <cols>
    <col min="1" max="16384" width="9" style="70"/>
  </cols>
  <sheetData>
    <row r="1" spans="1:7" x14ac:dyDescent="0.3">
      <c r="A1" s="70" t="s">
        <v>0</v>
      </c>
      <c r="C1" s="70" t="s">
        <v>705</v>
      </c>
    </row>
    <row r="2" spans="1:7" x14ac:dyDescent="0.3">
      <c r="A2" s="70" t="s">
        <v>2</v>
      </c>
      <c r="C2" s="70" t="s">
        <v>704</v>
      </c>
    </row>
    <row r="3" spans="1:7" x14ac:dyDescent="0.3">
      <c r="A3" s="70" t="s">
        <v>4</v>
      </c>
      <c r="C3" s="70" t="s">
        <v>631</v>
      </c>
    </row>
    <row r="4" spans="1:7" x14ac:dyDescent="0.3">
      <c r="A4" s="70" t="s">
        <v>6</v>
      </c>
      <c r="C4" s="70" t="s">
        <v>703</v>
      </c>
    </row>
    <row r="5" spans="1:7" x14ac:dyDescent="0.3">
      <c r="A5" s="70" t="s">
        <v>8</v>
      </c>
      <c r="C5" s="70" t="s">
        <v>702</v>
      </c>
      <c r="D5" s="70" t="s">
        <v>701</v>
      </c>
      <c r="E5" s="70" t="s">
        <v>700</v>
      </c>
      <c r="F5" s="70" t="s">
        <v>699</v>
      </c>
      <c r="G5" s="70" t="s">
        <v>698</v>
      </c>
    </row>
    <row r="6" spans="1:7" x14ac:dyDescent="0.3">
      <c r="A6" s="70" t="s">
        <v>15</v>
      </c>
      <c r="C6" s="70" t="s">
        <v>697</v>
      </c>
      <c r="D6" s="70" t="s">
        <v>696</v>
      </c>
      <c r="E6" s="70" t="s">
        <v>695</v>
      </c>
      <c r="F6" s="70" t="s">
        <v>694</v>
      </c>
      <c r="G6" s="70" t="s">
        <v>693</v>
      </c>
    </row>
    <row r="7" spans="1:7" x14ac:dyDescent="0.3">
      <c r="A7" s="70" t="s">
        <v>22</v>
      </c>
      <c r="C7" s="70" t="s">
        <v>617</v>
      </c>
      <c r="D7" s="70" t="s">
        <v>575</v>
      </c>
      <c r="E7" s="70" t="s">
        <v>23</v>
      </c>
      <c r="F7" s="70" t="s">
        <v>617</v>
      </c>
      <c r="G7" s="70" t="s">
        <v>23</v>
      </c>
    </row>
    <row r="8" spans="1:7" x14ac:dyDescent="0.3">
      <c r="A8" s="72" t="s">
        <v>24</v>
      </c>
      <c r="B8" s="72"/>
      <c r="C8" s="75" t="s">
        <v>692</v>
      </c>
      <c r="D8" s="75" t="s">
        <v>691</v>
      </c>
      <c r="E8" s="75" t="s">
        <v>690</v>
      </c>
      <c r="F8" s="72" t="s">
        <v>689</v>
      </c>
      <c r="G8" s="75" t="s">
        <v>688</v>
      </c>
    </row>
    <row r="9" spans="1:7" x14ac:dyDescent="0.3">
      <c r="A9" s="72"/>
      <c r="B9" s="72"/>
      <c r="C9" s="72"/>
      <c r="D9" s="72"/>
      <c r="E9" s="72"/>
      <c r="F9" s="72"/>
      <c r="G9" s="72"/>
    </row>
    <row r="10" spans="1:7" x14ac:dyDescent="0.3">
      <c r="A10" s="72"/>
      <c r="B10" s="72"/>
      <c r="C10" s="72"/>
      <c r="D10" s="72"/>
      <c r="E10" s="72"/>
      <c r="F10" s="72"/>
      <c r="G10" s="72"/>
    </row>
    <row r="11" spans="1:7" x14ac:dyDescent="0.3">
      <c r="A11" s="72"/>
      <c r="B11" s="72"/>
      <c r="C11" s="72"/>
      <c r="D11" s="72"/>
      <c r="E11" s="72"/>
      <c r="F11" s="72"/>
      <c r="G11" s="72"/>
    </row>
    <row r="12" spans="1:7" x14ac:dyDescent="0.3">
      <c r="A12" s="72"/>
      <c r="B12" s="72"/>
      <c r="C12" s="72"/>
      <c r="D12" s="72"/>
      <c r="E12" s="72"/>
      <c r="F12" s="72"/>
      <c r="G12" s="72"/>
    </row>
    <row r="13" spans="1:7" x14ac:dyDescent="0.3">
      <c r="A13" s="72"/>
      <c r="B13" s="72"/>
      <c r="C13" s="72"/>
      <c r="D13" s="72"/>
      <c r="E13" s="72"/>
      <c r="F13" s="72"/>
      <c r="G13" s="72"/>
    </row>
    <row r="14" spans="1:7" ht="202.5" x14ac:dyDescent="0.3">
      <c r="A14" s="70" t="s">
        <v>41</v>
      </c>
      <c r="C14" s="74" t="s">
        <v>687</v>
      </c>
      <c r="D14" s="70" t="s">
        <v>686</v>
      </c>
      <c r="E14" s="70" t="s">
        <v>685</v>
      </c>
      <c r="F14" s="70" t="s">
        <v>684</v>
      </c>
      <c r="G14" s="70" t="s">
        <v>683</v>
      </c>
    </row>
    <row r="15" spans="1:7" x14ac:dyDescent="0.3">
      <c r="A15" s="70" t="s">
        <v>47</v>
      </c>
      <c r="C15" s="70" t="s">
        <v>682</v>
      </c>
      <c r="D15" s="70" t="s">
        <v>681</v>
      </c>
      <c r="E15" s="70" t="s">
        <v>680</v>
      </c>
      <c r="F15" s="70" t="s">
        <v>679</v>
      </c>
      <c r="G15" s="70" t="s">
        <v>678</v>
      </c>
    </row>
    <row r="16" spans="1:7" x14ac:dyDescent="0.3">
      <c r="A16" s="70" t="s">
        <v>48</v>
      </c>
      <c r="C16" s="70" t="s">
        <v>677</v>
      </c>
      <c r="D16" s="70" t="s">
        <v>676</v>
      </c>
      <c r="E16" s="70" t="s">
        <v>675</v>
      </c>
      <c r="F16" s="70" t="s">
        <v>674</v>
      </c>
      <c r="G16" s="70" t="s">
        <v>673</v>
      </c>
    </row>
    <row r="17" spans="1:1" x14ac:dyDescent="0.3">
      <c r="A17" s="70" t="s">
        <v>54</v>
      </c>
    </row>
  </sheetData>
  <mergeCells count="6">
    <mergeCell ref="A8:B13"/>
    <mergeCell ref="C8:C13"/>
    <mergeCell ref="D8:D13"/>
    <mergeCell ref="E8:E13"/>
    <mergeCell ref="F8:F13"/>
    <mergeCell ref="G8:G13"/>
  </mergeCells>
  <phoneticPr fontId="1"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F426F-07D2-4428-B431-84D13FF2BEFF}">
  <dimension ref="A1:H16"/>
  <sheetViews>
    <sheetView workbookViewId="0">
      <selection activeCell="C8" sqref="C8:C13"/>
    </sheetView>
  </sheetViews>
  <sheetFormatPr defaultColWidth="8.86328125" defaultRowHeight="13.5" x14ac:dyDescent="0.3"/>
  <cols>
    <col min="1" max="16384" width="8.86328125" style="70"/>
  </cols>
  <sheetData>
    <row r="1" spans="1:8" x14ac:dyDescent="0.3">
      <c r="A1" s="70" t="s">
        <v>0</v>
      </c>
      <c r="C1" s="70" t="s">
        <v>745</v>
      </c>
    </row>
    <row r="2" spans="1:8" x14ac:dyDescent="0.3">
      <c r="A2" s="70" t="s">
        <v>2</v>
      </c>
      <c r="C2" s="70" t="s">
        <v>744</v>
      </c>
    </row>
    <row r="3" spans="1:8" x14ac:dyDescent="0.3">
      <c r="A3" s="70" t="s">
        <v>4</v>
      </c>
      <c r="C3" s="70" t="s">
        <v>743</v>
      </c>
    </row>
    <row r="4" spans="1:8" x14ac:dyDescent="0.3">
      <c r="A4" s="70" t="s">
        <v>6</v>
      </c>
      <c r="C4" s="70" t="s">
        <v>742</v>
      </c>
    </row>
    <row r="5" spans="1:8" x14ac:dyDescent="0.3">
      <c r="A5" s="70" t="s">
        <v>8</v>
      </c>
      <c r="C5" s="70" t="s">
        <v>741</v>
      </c>
      <c r="D5" s="70" t="s">
        <v>740</v>
      </c>
      <c r="E5" s="70" t="s">
        <v>739</v>
      </c>
      <c r="F5" s="70" t="s">
        <v>738</v>
      </c>
      <c r="G5" s="70" t="s">
        <v>737</v>
      </c>
      <c r="H5" s="70" t="s">
        <v>736</v>
      </c>
    </row>
    <row r="6" spans="1:8" x14ac:dyDescent="0.3">
      <c r="A6" s="70" t="s">
        <v>15</v>
      </c>
      <c r="C6" s="70" t="s">
        <v>735</v>
      </c>
      <c r="D6" s="70" t="s">
        <v>734</v>
      </c>
      <c r="E6" s="70" t="s">
        <v>733</v>
      </c>
      <c r="F6" s="70" t="s">
        <v>732</v>
      </c>
      <c r="G6" s="70" t="s">
        <v>731</v>
      </c>
      <c r="H6" s="70" t="s">
        <v>730</v>
      </c>
    </row>
    <row r="7" spans="1:8" x14ac:dyDescent="0.3">
      <c r="A7" s="70" t="s">
        <v>22</v>
      </c>
      <c r="C7" s="70" t="s">
        <v>617</v>
      </c>
      <c r="D7" s="70" t="s">
        <v>617</v>
      </c>
      <c r="E7" s="70" t="s">
        <v>23</v>
      </c>
      <c r="F7" s="70" t="s">
        <v>617</v>
      </c>
      <c r="G7" s="70" t="s">
        <v>23</v>
      </c>
      <c r="H7" s="70" t="s">
        <v>23</v>
      </c>
    </row>
    <row r="8" spans="1:8" x14ac:dyDescent="0.3">
      <c r="A8" s="72" t="s">
        <v>24</v>
      </c>
      <c r="B8" s="72"/>
      <c r="C8" s="72" t="s">
        <v>729</v>
      </c>
      <c r="D8" s="72" t="s">
        <v>728</v>
      </c>
      <c r="E8" s="72" t="s">
        <v>727</v>
      </c>
      <c r="F8" s="72" t="s">
        <v>726</v>
      </c>
      <c r="G8" s="72" t="s">
        <v>725</v>
      </c>
      <c r="H8" s="72" t="s">
        <v>724</v>
      </c>
    </row>
    <row r="9" spans="1:8" x14ac:dyDescent="0.3">
      <c r="A9" s="72"/>
      <c r="B9" s="72"/>
      <c r="C9" s="72"/>
      <c r="D9" s="72"/>
      <c r="E9" s="72"/>
      <c r="F9" s="72"/>
      <c r="G9" s="72"/>
      <c r="H9" s="72"/>
    </row>
    <row r="10" spans="1:8" x14ac:dyDescent="0.3">
      <c r="A10" s="72"/>
      <c r="B10" s="72"/>
      <c r="C10" s="72"/>
      <c r="D10" s="72"/>
      <c r="E10" s="72"/>
      <c r="F10" s="72"/>
      <c r="G10" s="72"/>
      <c r="H10" s="72"/>
    </row>
    <row r="11" spans="1:8" x14ac:dyDescent="0.3">
      <c r="A11" s="72"/>
      <c r="B11" s="72"/>
      <c r="C11" s="72"/>
      <c r="D11" s="72"/>
      <c r="E11" s="72"/>
      <c r="F11" s="72"/>
      <c r="G11" s="72"/>
      <c r="H11" s="72"/>
    </row>
    <row r="12" spans="1:8" x14ac:dyDescent="0.3">
      <c r="A12" s="72"/>
      <c r="B12" s="72"/>
      <c r="C12" s="72"/>
      <c r="D12" s="72"/>
      <c r="E12" s="72"/>
      <c r="F12" s="72"/>
      <c r="G12" s="72"/>
      <c r="H12" s="72"/>
    </row>
    <row r="13" spans="1:8" x14ac:dyDescent="0.3">
      <c r="A13" s="72"/>
      <c r="B13" s="72"/>
      <c r="C13" s="72"/>
      <c r="D13" s="72"/>
      <c r="E13" s="72"/>
      <c r="F13" s="72"/>
      <c r="G13" s="72"/>
      <c r="H13" s="72"/>
    </row>
    <row r="14" spans="1:8" x14ac:dyDescent="0.3">
      <c r="A14" s="70" t="s">
        <v>41</v>
      </c>
      <c r="C14" s="70" t="s">
        <v>723</v>
      </c>
      <c r="D14" s="70" t="s">
        <v>722</v>
      </c>
      <c r="E14" s="70" t="s">
        <v>721</v>
      </c>
      <c r="F14" s="70" t="s">
        <v>720</v>
      </c>
      <c r="G14" s="70" t="s">
        <v>719</v>
      </c>
      <c r="H14" s="70" t="s">
        <v>718</v>
      </c>
    </row>
    <row r="15" spans="1:8" x14ac:dyDescent="0.3">
      <c r="A15" s="70" t="s">
        <v>47</v>
      </c>
      <c r="C15" s="70" t="s">
        <v>717</v>
      </c>
      <c r="D15" s="70" t="s">
        <v>716</v>
      </c>
      <c r="E15" s="70" t="s">
        <v>715</v>
      </c>
      <c r="F15" s="70" t="s">
        <v>714</v>
      </c>
      <c r="G15" s="70" t="s">
        <v>713</v>
      </c>
      <c r="H15" s="70" t="s">
        <v>712</v>
      </c>
    </row>
    <row r="16" spans="1:8" x14ac:dyDescent="0.3">
      <c r="A16" s="70" t="s">
        <v>48</v>
      </c>
      <c r="C16" s="70" t="s">
        <v>711</v>
      </c>
      <c r="D16" s="70" t="s">
        <v>710</v>
      </c>
      <c r="E16" s="70" t="s">
        <v>709</v>
      </c>
      <c r="F16" s="70" t="s">
        <v>708</v>
      </c>
      <c r="G16" s="70" t="s">
        <v>707</v>
      </c>
      <c r="H16" s="70" t="s">
        <v>706</v>
      </c>
    </row>
  </sheetData>
  <mergeCells count="7">
    <mergeCell ref="H8:H13"/>
    <mergeCell ref="A8:B13"/>
    <mergeCell ref="C8:C13"/>
    <mergeCell ref="D8:D13"/>
    <mergeCell ref="E8:E13"/>
    <mergeCell ref="F8:F13"/>
    <mergeCell ref="G8:G13"/>
  </mergeCells>
  <phoneticPr fontId="1"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D64EB-B709-42B0-B829-D9655C6394F2}">
  <dimension ref="A1:H17"/>
  <sheetViews>
    <sheetView workbookViewId="0">
      <selection activeCell="C8" sqref="C8:C13"/>
    </sheetView>
  </sheetViews>
  <sheetFormatPr defaultColWidth="8.86328125" defaultRowHeight="13.5" x14ac:dyDescent="0.3"/>
  <cols>
    <col min="1" max="16384" width="8.86328125" style="70"/>
  </cols>
  <sheetData>
    <row r="1" spans="1:8" x14ac:dyDescent="0.3">
      <c r="A1" s="70" t="s">
        <v>0</v>
      </c>
      <c r="C1" s="70" t="s">
        <v>785</v>
      </c>
    </row>
    <row r="2" spans="1:8" x14ac:dyDescent="0.3">
      <c r="A2" s="70" t="s">
        <v>2</v>
      </c>
      <c r="C2" s="70" t="s">
        <v>784</v>
      </c>
    </row>
    <row r="3" spans="1:8" x14ac:dyDescent="0.3">
      <c r="A3" s="70" t="s">
        <v>4</v>
      </c>
      <c r="C3" s="73" t="s">
        <v>743</v>
      </c>
    </row>
    <row r="4" spans="1:8" x14ac:dyDescent="0.3">
      <c r="A4" s="70" t="s">
        <v>6</v>
      </c>
      <c r="C4" s="70" t="s">
        <v>783</v>
      </c>
    </row>
    <row r="5" spans="1:8" x14ac:dyDescent="0.3">
      <c r="A5" s="70" t="s">
        <v>8</v>
      </c>
      <c r="C5" s="70" t="s">
        <v>782</v>
      </c>
      <c r="D5" s="70" t="s">
        <v>781</v>
      </c>
      <c r="E5" s="70" t="s">
        <v>780</v>
      </c>
      <c r="F5" s="70" t="s">
        <v>779</v>
      </c>
      <c r="G5" s="70" t="s">
        <v>778</v>
      </c>
      <c r="H5" s="70" t="s">
        <v>777</v>
      </c>
    </row>
    <row r="6" spans="1:8" x14ac:dyDescent="0.3">
      <c r="A6" s="70" t="s">
        <v>15</v>
      </c>
      <c r="C6" s="70" t="s">
        <v>776</v>
      </c>
      <c r="D6" s="70" t="s">
        <v>775</v>
      </c>
      <c r="E6" s="70" t="s">
        <v>774</v>
      </c>
      <c r="F6" s="70" t="s">
        <v>773</v>
      </c>
      <c r="G6" s="70" t="s">
        <v>772</v>
      </c>
      <c r="H6" s="70" t="s">
        <v>771</v>
      </c>
    </row>
    <row r="7" spans="1:8" x14ac:dyDescent="0.3">
      <c r="A7" s="70" t="s">
        <v>22</v>
      </c>
      <c r="C7" s="70" t="s">
        <v>23</v>
      </c>
      <c r="D7" s="70" t="s">
        <v>23</v>
      </c>
      <c r="E7" s="70" t="s">
        <v>23</v>
      </c>
      <c r="F7" s="70" t="s">
        <v>770</v>
      </c>
      <c r="G7" s="70" t="s">
        <v>23</v>
      </c>
      <c r="H7" s="70" t="s">
        <v>617</v>
      </c>
    </row>
    <row r="8" spans="1:8" x14ac:dyDescent="0.3">
      <c r="A8" s="72" t="s">
        <v>24</v>
      </c>
      <c r="B8" s="72"/>
      <c r="C8" s="72" t="s">
        <v>769</v>
      </c>
      <c r="D8" s="72" t="s">
        <v>768</v>
      </c>
      <c r="E8" s="72" t="s">
        <v>767</v>
      </c>
      <c r="F8" s="72" t="s">
        <v>766</v>
      </c>
      <c r="G8" s="72" t="s">
        <v>765</v>
      </c>
      <c r="H8" s="72" t="s">
        <v>764</v>
      </c>
    </row>
    <row r="9" spans="1:8" x14ac:dyDescent="0.3">
      <c r="A9" s="72"/>
      <c r="B9" s="72"/>
      <c r="C9" s="72"/>
      <c r="D9" s="72"/>
      <c r="E9" s="72"/>
      <c r="F9" s="72"/>
      <c r="G9" s="72"/>
      <c r="H9" s="72"/>
    </row>
    <row r="10" spans="1:8" x14ac:dyDescent="0.3">
      <c r="A10" s="72"/>
      <c r="B10" s="72"/>
      <c r="C10" s="72"/>
      <c r="D10" s="72"/>
      <c r="E10" s="72"/>
      <c r="F10" s="72"/>
      <c r="G10" s="72"/>
      <c r="H10" s="72"/>
    </row>
    <row r="11" spans="1:8" x14ac:dyDescent="0.3">
      <c r="A11" s="72"/>
      <c r="B11" s="72"/>
      <c r="C11" s="72"/>
      <c r="D11" s="72"/>
      <c r="E11" s="72"/>
      <c r="F11" s="72"/>
      <c r="G11" s="72"/>
      <c r="H11" s="72"/>
    </row>
    <row r="12" spans="1:8" x14ac:dyDescent="0.3">
      <c r="A12" s="72"/>
      <c r="B12" s="72"/>
      <c r="C12" s="72"/>
      <c r="D12" s="72"/>
      <c r="E12" s="72"/>
      <c r="F12" s="72"/>
      <c r="G12" s="72"/>
      <c r="H12" s="72"/>
    </row>
    <row r="13" spans="1:8" x14ac:dyDescent="0.3">
      <c r="A13" s="72"/>
      <c r="B13" s="72"/>
      <c r="C13" s="72"/>
      <c r="D13" s="72"/>
      <c r="E13" s="72"/>
      <c r="F13" s="72"/>
      <c r="G13" s="72"/>
      <c r="H13" s="72"/>
    </row>
    <row r="14" spans="1:8" x14ac:dyDescent="0.3">
      <c r="A14" s="70" t="s">
        <v>41</v>
      </c>
      <c r="C14" s="70" t="s">
        <v>763</v>
      </c>
      <c r="D14" s="70" t="s">
        <v>762</v>
      </c>
      <c r="E14" s="70" t="s">
        <v>761</v>
      </c>
      <c r="F14" s="70" t="s">
        <v>760</v>
      </c>
      <c r="G14" s="70" t="s">
        <v>759</v>
      </c>
      <c r="H14" s="70" t="s">
        <v>758</v>
      </c>
    </row>
    <row r="15" spans="1:8" x14ac:dyDescent="0.3">
      <c r="A15" s="70" t="s">
        <v>47</v>
      </c>
      <c r="C15" s="70" t="s">
        <v>757</v>
      </c>
      <c r="D15" s="70" t="s">
        <v>756</v>
      </c>
      <c r="E15" s="70" t="s">
        <v>755</v>
      </c>
      <c r="F15" s="70" t="s">
        <v>754</v>
      </c>
      <c r="G15" s="70" t="s">
        <v>753</v>
      </c>
      <c r="H15" s="70" t="s">
        <v>752</v>
      </c>
    </row>
    <row r="16" spans="1:8" x14ac:dyDescent="0.3">
      <c r="A16" s="70" t="s">
        <v>48</v>
      </c>
      <c r="C16" s="70" t="s">
        <v>751</v>
      </c>
      <c r="D16" s="70" t="s">
        <v>750</v>
      </c>
      <c r="E16" s="70" t="s">
        <v>749</v>
      </c>
      <c r="F16" s="70" t="s">
        <v>748</v>
      </c>
      <c r="G16" s="70" t="s">
        <v>747</v>
      </c>
      <c r="H16" s="70" t="s">
        <v>746</v>
      </c>
    </row>
    <row r="17" spans="1:1" x14ac:dyDescent="0.3">
      <c r="A17" s="70" t="s">
        <v>54</v>
      </c>
    </row>
  </sheetData>
  <mergeCells count="7">
    <mergeCell ref="H8:H13"/>
    <mergeCell ref="A8:B13"/>
    <mergeCell ref="C8:C13"/>
    <mergeCell ref="D8:D13"/>
    <mergeCell ref="E8:E13"/>
    <mergeCell ref="F8:F13"/>
    <mergeCell ref="G8:G13"/>
  </mergeCells>
  <phoneticPr fontId="1"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81354-D66D-44C5-AF7A-B882840AFDEC}">
  <dimension ref="A1:G14"/>
  <sheetViews>
    <sheetView topLeftCell="A9" workbookViewId="0">
      <selection activeCell="C10" sqref="C10"/>
    </sheetView>
  </sheetViews>
  <sheetFormatPr defaultColWidth="9" defaultRowHeight="13.5" x14ac:dyDescent="0.3"/>
  <cols>
    <col min="1" max="1" width="24.19921875" style="65" customWidth="1"/>
    <col min="2" max="2" width="25.46484375" style="65" customWidth="1"/>
    <col min="3" max="3" width="26.796875" style="65" customWidth="1"/>
    <col min="4" max="4" width="25.06640625" style="65" customWidth="1"/>
    <col min="5" max="5" width="29" style="65" customWidth="1"/>
    <col min="6" max="6" width="23" style="65" customWidth="1"/>
    <col min="7" max="7" width="22.33203125" style="65" customWidth="1"/>
    <col min="8" max="16384" width="9" style="65"/>
  </cols>
  <sheetData>
    <row r="1" spans="1:7" x14ac:dyDescent="0.3">
      <c r="A1" s="66" t="s">
        <v>0</v>
      </c>
      <c r="B1" s="66" t="s">
        <v>597</v>
      </c>
    </row>
    <row r="2" spans="1:7" x14ac:dyDescent="0.3">
      <c r="A2" s="66" t="s">
        <v>2</v>
      </c>
      <c r="B2" s="66" t="s">
        <v>596</v>
      </c>
    </row>
    <row r="3" spans="1:7" x14ac:dyDescent="0.3">
      <c r="A3" s="66" t="s">
        <v>4</v>
      </c>
      <c r="B3" s="66" t="s">
        <v>595</v>
      </c>
    </row>
    <row r="4" spans="1:7" x14ac:dyDescent="0.3">
      <c r="A4" s="66" t="s">
        <v>6</v>
      </c>
      <c r="B4" s="66" t="s">
        <v>594</v>
      </c>
    </row>
    <row r="5" spans="1:7" x14ac:dyDescent="0.3">
      <c r="A5" s="66" t="s">
        <v>8</v>
      </c>
      <c r="B5" s="66" t="s">
        <v>593</v>
      </c>
      <c r="C5" s="66" t="s">
        <v>592</v>
      </c>
      <c r="D5" s="66" t="s">
        <v>591</v>
      </c>
      <c r="E5" s="66" t="s">
        <v>590</v>
      </c>
      <c r="F5" s="66" t="s">
        <v>589</v>
      </c>
      <c r="G5" s="66" t="s">
        <v>588</v>
      </c>
    </row>
    <row r="6" spans="1:7" x14ac:dyDescent="0.3">
      <c r="A6" s="66" t="s">
        <v>15</v>
      </c>
      <c r="B6" s="66" t="s">
        <v>587</v>
      </c>
      <c r="C6" s="66" t="s">
        <v>586</v>
      </c>
      <c r="D6" s="66" t="s">
        <v>585</v>
      </c>
      <c r="E6" s="66" t="s">
        <v>584</v>
      </c>
      <c r="F6" s="66" t="s">
        <v>583</v>
      </c>
      <c r="G6" s="66" t="s">
        <v>582</v>
      </c>
    </row>
    <row r="7" spans="1:7" ht="112.05" customHeight="1" x14ac:dyDescent="0.3">
      <c r="A7" s="67" t="s">
        <v>24</v>
      </c>
      <c r="B7" s="67" t="s">
        <v>581</v>
      </c>
      <c r="C7" s="67" t="s">
        <v>580</v>
      </c>
      <c r="D7" s="67" t="s">
        <v>579</v>
      </c>
      <c r="E7" s="67" t="s">
        <v>578</v>
      </c>
      <c r="F7" s="67" t="s">
        <v>577</v>
      </c>
      <c r="G7" s="67" t="s">
        <v>576</v>
      </c>
    </row>
    <row r="8" spans="1:7" x14ac:dyDescent="0.3">
      <c r="A8" s="66" t="s">
        <v>22</v>
      </c>
      <c r="B8" s="66" t="s">
        <v>23</v>
      </c>
      <c r="C8" s="66" t="s">
        <v>575</v>
      </c>
      <c r="D8" s="66" t="s">
        <v>574</v>
      </c>
      <c r="E8" s="66" t="s">
        <v>574</v>
      </c>
      <c r="F8" s="66" t="s">
        <v>574</v>
      </c>
      <c r="G8" s="66" t="s">
        <v>425</v>
      </c>
    </row>
    <row r="9" spans="1:7" ht="42" customHeight="1" x14ac:dyDescent="0.3">
      <c r="A9" s="67" t="s">
        <v>41</v>
      </c>
      <c r="B9" s="67" t="s">
        <v>573</v>
      </c>
      <c r="C9" s="67" t="s">
        <v>572</v>
      </c>
      <c r="D9" s="67" t="s">
        <v>571</v>
      </c>
      <c r="E9" s="67" t="s">
        <v>570</v>
      </c>
      <c r="F9" s="67" t="s">
        <v>569</v>
      </c>
      <c r="G9" s="67" t="s">
        <v>568</v>
      </c>
    </row>
    <row r="10" spans="1:7" ht="84" customHeight="1" x14ac:dyDescent="0.3">
      <c r="A10" s="69" t="s">
        <v>47</v>
      </c>
      <c r="B10" s="67" t="s">
        <v>223</v>
      </c>
      <c r="C10" s="67" t="s">
        <v>567</v>
      </c>
      <c r="D10" s="67" t="s">
        <v>566</v>
      </c>
      <c r="E10" s="67" t="s">
        <v>565</v>
      </c>
      <c r="F10" s="67" t="s">
        <v>564</v>
      </c>
      <c r="G10" s="67" t="s">
        <v>563</v>
      </c>
    </row>
    <row r="11" spans="1:7" ht="56" customHeight="1" x14ac:dyDescent="0.3">
      <c r="A11" s="68"/>
      <c r="B11" s="67" t="s">
        <v>224</v>
      </c>
      <c r="C11" s="67" t="s">
        <v>562</v>
      </c>
      <c r="D11" s="67" t="s">
        <v>561</v>
      </c>
      <c r="E11" s="67" t="s">
        <v>560</v>
      </c>
      <c r="F11" s="67" t="s">
        <v>559</v>
      </c>
      <c r="G11" s="67" t="s">
        <v>558</v>
      </c>
    </row>
    <row r="12" spans="1:7" ht="56" customHeight="1" x14ac:dyDescent="0.3">
      <c r="A12" s="68"/>
      <c r="B12" s="67" t="s">
        <v>225</v>
      </c>
      <c r="C12" s="67" t="s">
        <v>557</v>
      </c>
      <c r="D12" s="67" t="s">
        <v>556</v>
      </c>
      <c r="E12" s="67" t="s">
        <v>555</v>
      </c>
      <c r="F12" s="67" t="s">
        <v>554</v>
      </c>
      <c r="G12" s="67" t="s">
        <v>553</v>
      </c>
    </row>
    <row r="13" spans="1:7" ht="42" customHeight="1" x14ac:dyDescent="0.3">
      <c r="A13" s="67" t="s">
        <v>48</v>
      </c>
      <c r="B13" s="67" t="s">
        <v>552</v>
      </c>
      <c r="C13" s="67" t="s">
        <v>551</v>
      </c>
      <c r="D13" s="67" t="s">
        <v>550</v>
      </c>
      <c r="E13" s="67" t="s">
        <v>549</v>
      </c>
      <c r="F13" s="67" t="s">
        <v>548</v>
      </c>
      <c r="G13" s="67" t="s">
        <v>547</v>
      </c>
    </row>
    <row r="14" spans="1:7" x14ac:dyDescent="0.3">
      <c r="A14" s="66" t="s">
        <v>54</v>
      </c>
      <c r="B14" s="66" t="s">
        <v>546</v>
      </c>
    </row>
  </sheetData>
  <mergeCells count="1">
    <mergeCell ref="A10:A12"/>
  </mergeCells>
  <phoneticPr fontId="1"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9"/>
  <sheetViews>
    <sheetView topLeftCell="A71" zoomScale="83" workbookViewId="0">
      <selection activeCell="E98" sqref="E98"/>
    </sheetView>
  </sheetViews>
  <sheetFormatPr defaultColWidth="9" defaultRowHeight="13.5" x14ac:dyDescent="0.3"/>
  <cols>
    <col min="1" max="1" width="16" style="29" customWidth="1"/>
    <col min="2" max="2" width="45" style="29" customWidth="1"/>
    <col min="3" max="4" width="38" style="29" customWidth="1"/>
    <col min="5" max="5" width="45" style="29" customWidth="1"/>
    <col min="6" max="6" width="4" style="29" customWidth="1"/>
    <col min="7" max="7" width="70" style="29" customWidth="1"/>
  </cols>
  <sheetData>
    <row r="1" spans="1:7" x14ac:dyDescent="0.3">
      <c r="A1" s="1" t="s">
        <v>273</v>
      </c>
      <c r="B1"/>
      <c r="C1"/>
      <c r="D1"/>
      <c r="E1"/>
      <c r="F1"/>
      <c r="G1"/>
    </row>
    <row r="2" spans="1:7" ht="13.9" customHeight="1" thickBot="1" x14ac:dyDescent="0.35">
      <c r="A2" s="1" t="s">
        <v>274</v>
      </c>
      <c r="B2" t="str">
        <f>[1]R008!B1</f>
        <v>R008</v>
      </c>
      <c r="C2"/>
      <c r="D2"/>
      <c r="E2"/>
      <c r="F2"/>
      <c r="G2"/>
    </row>
    <row r="3" spans="1:7" x14ac:dyDescent="0.3">
      <c r="A3" s="15" t="s">
        <v>275</v>
      </c>
      <c r="B3" s="16" t="str">
        <f>[1]R008!B5</f>
        <v>R008-S01</v>
      </c>
      <c r="C3" s="17" t="s">
        <v>223</v>
      </c>
      <c r="D3" s="17" t="s">
        <v>276</v>
      </c>
      <c r="E3" s="18" t="s">
        <v>225</v>
      </c>
      <c r="F3"/>
      <c r="G3"/>
    </row>
    <row r="4" spans="1:7" ht="47.65" customHeight="1" x14ac:dyDescent="0.3">
      <c r="A4" s="19" t="s">
        <v>277</v>
      </c>
      <c r="B4" s="20" t="str">
        <f>[1]R008!B8</f>
        <v>在建工程增长率=（本期在建工程−上期在建工程​）/上期在建工程</v>
      </c>
      <c r="C4" s="2" t="s">
        <v>278</v>
      </c>
      <c r="D4" s="2" t="s">
        <v>279</v>
      </c>
      <c r="E4" s="21" t="s">
        <v>310</v>
      </c>
      <c r="F4"/>
      <c r="G4"/>
    </row>
    <row r="5" spans="1:7" ht="27.4" customHeight="1" x14ac:dyDescent="0.3">
      <c r="A5" s="19" t="s">
        <v>280</v>
      </c>
      <c r="B5" s="20" t="str">
        <f>[1]R008!B10</f>
        <v>增长偏离度=在建工程增长率−营业收入增长率</v>
      </c>
      <c r="C5" s="1" t="s">
        <v>281</v>
      </c>
      <c r="D5" s="1" t="s">
        <v>282</v>
      </c>
      <c r="E5" s="22" t="s">
        <v>311</v>
      </c>
      <c r="F5"/>
      <c r="G5"/>
    </row>
    <row r="6" spans="1:7" ht="40.9" customHeight="1" thickBot="1" x14ac:dyDescent="0.35">
      <c r="A6" s="23" t="s">
        <v>283</v>
      </c>
      <c r="B6" s="24"/>
      <c r="C6" s="25" t="s">
        <v>284</v>
      </c>
      <c r="D6" s="25" t="s">
        <v>312</v>
      </c>
      <c r="E6" s="26" t="s">
        <v>313</v>
      </c>
      <c r="F6"/>
      <c r="G6"/>
    </row>
    <row r="7" spans="1:7" ht="13.9" customHeight="1" thickBot="1" x14ac:dyDescent="0.35">
      <c r="A7"/>
      <c r="B7"/>
      <c r="C7"/>
      <c r="D7"/>
      <c r="E7"/>
      <c r="F7"/>
      <c r="G7"/>
    </row>
    <row r="8" spans="1:7" x14ac:dyDescent="0.3">
      <c r="A8" s="15" t="s">
        <v>285</v>
      </c>
      <c r="B8" s="16" t="str">
        <f>[1]R008!C5</f>
        <v>R008-S02</v>
      </c>
      <c r="C8" s="17" t="s">
        <v>223</v>
      </c>
      <c r="D8" s="17" t="s">
        <v>276</v>
      </c>
      <c r="E8" s="18" t="s">
        <v>225</v>
      </c>
      <c r="F8"/>
      <c r="G8"/>
    </row>
    <row r="9" spans="1:7" ht="67.900000000000006" customHeight="1" thickBot="1" x14ac:dyDescent="0.35">
      <c r="A9" s="23" t="s">
        <v>277</v>
      </c>
      <c r="B9" s="27" t="str">
        <f>[1]R008!C10</f>
        <v>投入产出比=在建工程增加额/工程现金支出</v>
      </c>
      <c r="C9" s="25" t="s">
        <v>286</v>
      </c>
      <c r="D9" s="25" t="s">
        <v>287</v>
      </c>
      <c r="E9" s="26" t="s">
        <v>288</v>
      </c>
      <c r="F9"/>
      <c r="G9" s="1" t="s">
        <v>289</v>
      </c>
    </row>
    <row r="10" spans="1:7" ht="13.9" customHeight="1" thickBot="1" x14ac:dyDescent="0.35">
      <c r="A10"/>
      <c r="B10"/>
      <c r="C10"/>
      <c r="D10"/>
      <c r="E10"/>
      <c r="F10"/>
      <c r="G10"/>
    </row>
    <row r="11" spans="1:7" x14ac:dyDescent="0.3">
      <c r="A11" s="15" t="s">
        <v>290</v>
      </c>
      <c r="B11" s="16" t="str">
        <f>[1]R008!D5</f>
        <v>R008-S03</v>
      </c>
      <c r="C11" s="17" t="s">
        <v>223</v>
      </c>
      <c r="D11" s="17" t="s">
        <v>276</v>
      </c>
      <c r="E11" s="18" t="s">
        <v>225</v>
      </c>
      <c r="F11"/>
      <c r="G11"/>
    </row>
    <row r="12" spans="1:7" ht="40.9" customHeight="1" thickBot="1" x14ac:dyDescent="0.35">
      <c r="A12" s="23" t="s">
        <v>277</v>
      </c>
      <c r="B12" s="25" t="s">
        <v>291</v>
      </c>
      <c r="C12" s="25" t="s">
        <v>292</v>
      </c>
      <c r="D12" s="25" t="s">
        <v>293</v>
      </c>
      <c r="E12" s="26" t="s">
        <v>294</v>
      </c>
      <c r="F12"/>
      <c r="G12" s="1" t="s">
        <v>295</v>
      </c>
    </row>
    <row r="13" spans="1:7" ht="13.9" customHeight="1" thickBot="1" x14ac:dyDescent="0.35">
      <c r="A13"/>
      <c r="B13"/>
      <c r="C13"/>
      <c r="D13"/>
      <c r="E13"/>
      <c r="F13"/>
      <c r="G13"/>
    </row>
    <row r="14" spans="1:7" x14ac:dyDescent="0.3">
      <c r="A14" s="15" t="s">
        <v>296</v>
      </c>
      <c r="B14" s="16" t="str">
        <f>[1]R008!E5</f>
        <v>R008-S04</v>
      </c>
      <c r="C14" s="17" t="s">
        <v>223</v>
      </c>
      <c r="D14" s="17" t="s">
        <v>276</v>
      </c>
      <c r="E14" s="18" t="s">
        <v>225</v>
      </c>
      <c r="F14" s="1"/>
      <c r="G14"/>
    </row>
    <row r="15" spans="1:7" ht="54.4" customHeight="1" thickBot="1" x14ac:dyDescent="0.35">
      <c r="A15" s="23" t="s">
        <v>277</v>
      </c>
      <c r="B15" s="25" t="str">
        <f>[1]R008!E9</f>
        <v>固定资产增长率-营业收入增长率</v>
      </c>
      <c r="C15" s="25" t="s">
        <v>297</v>
      </c>
      <c r="D15" s="25" t="s">
        <v>298</v>
      </c>
      <c r="E15" s="26" t="s">
        <v>299</v>
      </c>
      <c r="F15" s="2"/>
      <c r="G15"/>
    </row>
    <row r="16" spans="1:7" ht="13.9" customHeight="1" thickBot="1" x14ac:dyDescent="0.35">
      <c r="A16"/>
      <c r="B16"/>
      <c r="C16"/>
      <c r="D16"/>
      <c r="E16"/>
      <c r="F16"/>
      <c r="G16"/>
    </row>
    <row r="17" spans="1:7" x14ac:dyDescent="0.3">
      <c r="A17" s="15" t="s">
        <v>300</v>
      </c>
      <c r="B17" s="16" t="str">
        <f>[1]R008!F5</f>
        <v>R008-S05</v>
      </c>
      <c r="C17" s="17" t="s">
        <v>223</v>
      </c>
      <c r="D17" s="17" t="s">
        <v>276</v>
      </c>
      <c r="E17" s="18" t="s">
        <v>225</v>
      </c>
      <c r="F17"/>
      <c r="G17"/>
    </row>
    <row r="18" spans="1:7" ht="67.900000000000006" customHeight="1" thickBot="1" x14ac:dyDescent="0.35">
      <c r="A18" s="23" t="s">
        <v>277</v>
      </c>
      <c r="B18" s="25"/>
      <c r="C18" s="25" t="s">
        <v>301</v>
      </c>
      <c r="D18" s="28" t="s">
        <v>302</v>
      </c>
      <c r="E18" s="26" t="s">
        <v>303</v>
      </c>
      <c r="F18"/>
      <c r="G18"/>
    </row>
    <row r="19" spans="1:7" ht="13.9" customHeight="1" thickBot="1" x14ac:dyDescent="0.35">
      <c r="A19"/>
      <c r="B19"/>
      <c r="C19"/>
      <c r="D19"/>
      <c r="E19"/>
      <c r="F19"/>
      <c r="G19"/>
    </row>
    <row r="20" spans="1:7" x14ac:dyDescent="0.3">
      <c r="A20" s="15" t="s">
        <v>304</v>
      </c>
      <c r="B20" s="16" t="str">
        <f>[1]R008!G5</f>
        <v>R008-S06</v>
      </c>
      <c r="C20" s="17" t="s">
        <v>223</v>
      </c>
      <c r="D20" s="17" t="s">
        <v>276</v>
      </c>
      <c r="E20" s="18" t="s">
        <v>225</v>
      </c>
      <c r="F20"/>
      <c r="G20"/>
    </row>
    <row r="21" spans="1:7" ht="40.9" customHeight="1" thickBot="1" x14ac:dyDescent="0.35">
      <c r="A21" s="23" t="s">
        <v>277</v>
      </c>
      <c r="B21" s="25"/>
      <c r="C21" s="25" t="s">
        <v>305</v>
      </c>
      <c r="D21" s="28" t="s">
        <v>306</v>
      </c>
      <c r="E21" s="26" t="s">
        <v>307</v>
      </c>
      <c r="F21"/>
      <c r="G21"/>
    </row>
    <row r="22" spans="1:7" x14ac:dyDescent="0.3">
      <c r="A22"/>
      <c r="B22"/>
      <c r="C22"/>
      <c r="D22"/>
      <c r="E22"/>
      <c r="F22"/>
      <c r="G22"/>
    </row>
    <row r="23" spans="1:7" x14ac:dyDescent="0.3">
      <c r="A23" s="33" t="s">
        <v>220</v>
      </c>
      <c r="B23" s="33"/>
      <c r="C23" s="34"/>
      <c r="D23" s="34"/>
      <c r="E23" s="34"/>
      <c r="F23" s="34"/>
      <c r="G23" s="34"/>
    </row>
    <row r="24" spans="1:7" x14ac:dyDescent="0.3">
      <c r="A24" s="33" t="s">
        <v>221</v>
      </c>
      <c r="B24" s="33" t="str">
        <f>'R009'!B1</f>
        <v>R009</v>
      </c>
      <c r="C24" s="34"/>
      <c r="D24" s="34"/>
      <c r="E24" s="34"/>
      <c r="F24" s="34"/>
      <c r="G24" s="34"/>
    </row>
    <row r="25" spans="1:7" x14ac:dyDescent="0.3">
      <c r="A25" s="33" t="s">
        <v>222</v>
      </c>
      <c r="B25" s="33" t="str">
        <f>'R009'!B5</f>
        <v>R009-S01</v>
      </c>
      <c r="C25" s="34" t="s">
        <v>223</v>
      </c>
      <c r="D25" s="34" t="s">
        <v>224</v>
      </c>
      <c r="E25" s="34" t="s">
        <v>225</v>
      </c>
      <c r="F25" s="34"/>
      <c r="G25" s="34"/>
    </row>
    <row r="26" spans="1:7" x14ac:dyDescent="0.3">
      <c r="A26" s="34" t="s">
        <v>226</v>
      </c>
      <c r="B26" s="33" t="s">
        <v>324</v>
      </c>
      <c r="C26" s="33" t="s">
        <v>325</v>
      </c>
      <c r="D26" s="33" t="s">
        <v>326</v>
      </c>
      <c r="E26" s="33" t="s">
        <v>327</v>
      </c>
      <c r="F26" s="34"/>
      <c r="G26" s="34" t="s">
        <v>227</v>
      </c>
    </row>
    <row r="27" spans="1:7" x14ac:dyDescent="0.3">
      <c r="A27" s="34" t="s">
        <v>228</v>
      </c>
      <c r="B27" s="34"/>
      <c r="C27" s="34" t="s">
        <v>229</v>
      </c>
      <c r="D27" s="34" t="s">
        <v>230</v>
      </c>
      <c r="E27" s="34" t="s">
        <v>231</v>
      </c>
      <c r="F27" s="34"/>
      <c r="G27" s="34"/>
    </row>
    <row r="28" spans="1:7" x14ac:dyDescent="0.3">
      <c r="A28" s="34"/>
      <c r="B28" s="34"/>
      <c r="C28" s="34"/>
      <c r="D28" s="34"/>
      <c r="E28" s="34"/>
      <c r="F28" s="34"/>
      <c r="G28" s="34"/>
    </row>
    <row r="29" spans="1:7" x14ac:dyDescent="0.3">
      <c r="A29" s="33" t="s">
        <v>232</v>
      </c>
      <c r="B29" s="33" t="str">
        <f>'R009'!C5</f>
        <v>R009-S02</v>
      </c>
      <c r="C29" s="34" t="s">
        <v>223</v>
      </c>
      <c r="D29" s="34" t="s">
        <v>224</v>
      </c>
      <c r="E29" s="34" t="s">
        <v>225</v>
      </c>
      <c r="F29" s="34"/>
      <c r="G29" s="34"/>
    </row>
    <row r="30" spans="1:7" ht="27" x14ac:dyDescent="0.3">
      <c r="A30" s="34" t="s">
        <v>226</v>
      </c>
      <c r="B30" s="34" t="s">
        <v>233</v>
      </c>
      <c r="C30" s="33" t="s">
        <v>329</v>
      </c>
      <c r="D30" s="33" t="s">
        <v>330</v>
      </c>
      <c r="E30" s="33" t="s">
        <v>331</v>
      </c>
      <c r="F30" s="34"/>
      <c r="G30" s="34" t="s">
        <v>234</v>
      </c>
    </row>
    <row r="31" spans="1:7" x14ac:dyDescent="0.3">
      <c r="A31" s="34" t="s">
        <v>228</v>
      </c>
      <c r="B31" s="34"/>
      <c r="C31" s="34" t="s">
        <v>229</v>
      </c>
      <c r="D31" s="34" t="s">
        <v>230</v>
      </c>
      <c r="E31" s="34" t="s">
        <v>231</v>
      </c>
      <c r="F31" s="34"/>
      <c r="G31" s="34"/>
    </row>
    <row r="32" spans="1:7" x14ac:dyDescent="0.3">
      <c r="A32" s="34"/>
      <c r="B32" s="34"/>
      <c r="C32" s="34"/>
      <c r="D32" s="34"/>
      <c r="E32" s="34"/>
      <c r="F32" s="34"/>
      <c r="G32" s="34"/>
    </row>
    <row r="33" spans="1:7" x14ac:dyDescent="0.3">
      <c r="A33" s="33" t="s">
        <v>235</v>
      </c>
      <c r="B33" s="33" t="str">
        <f>'R009'!D5</f>
        <v>R009-S03</v>
      </c>
      <c r="C33" s="34" t="s">
        <v>223</v>
      </c>
      <c r="D33" s="34" t="s">
        <v>224</v>
      </c>
      <c r="E33" s="34" t="s">
        <v>225</v>
      </c>
      <c r="F33" s="34"/>
      <c r="G33" s="34"/>
    </row>
    <row r="34" spans="1:7" ht="27" x14ac:dyDescent="0.3">
      <c r="A34" s="34" t="s">
        <v>226</v>
      </c>
      <c r="B34" s="34" t="s">
        <v>76</v>
      </c>
      <c r="C34" s="33" t="s">
        <v>333</v>
      </c>
      <c r="D34" s="33" t="s">
        <v>334</v>
      </c>
      <c r="E34" s="33" t="s">
        <v>335</v>
      </c>
      <c r="F34" s="34"/>
      <c r="G34" s="34" t="s">
        <v>236</v>
      </c>
    </row>
    <row r="35" spans="1:7" x14ac:dyDescent="0.3">
      <c r="A35" s="34" t="s">
        <v>228</v>
      </c>
      <c r="B35" s="34"/>
      <c r="C35" s="34" t="s">
        <v>229</v>
      </c>
      <c r="D35" s="34" t="s">
        <v>230</v>
      </c>
      <c r="E35" s="34" t="s">
        <v>231</v>
      </c>
      <c r="F35" s="34"/>
      <c r="G35" s="34"/>
    </row>
    <row r="36" spans="1:7" x14ac:dyDescent="0.3">
      <c r="A36" s="34"/>
      <c r="B36" s="34"/>
      <c r="C36" s="34"/>
      <c r="D36" s="34"/>
      <c r="E36" s="34"/>
      <c r="F36" s="34"/>
      <c r="G36" s="34"/>
    </row>
    <row r="37" spans="1:7" x14ac:dyDescent="0.3">
      <c r="A37" s="33" t="s">
        <v>237</v>
      </c>
      <c r="B37" s="33" t="str">
        <f>'R009'!E5</f>
        <v>R009-S04</v>
      </c>
      <c r="C37" s="34" t="s">
        <v>223</v>
      </c>
      <c r="D37" s="34" t="s">
        <v>224</v>
      </c>
      <c r="E37" s="34" t="s">
        <v>225</v>
      </c>
      <c r="F37" s="34"/>
      <c r="G37" s="34"/>
    </row>
    <row r="38" spans="1:7" x14ac:dyDescent="0.3">
      <c r="A38" s="34" t="s">
        <v>226</v>
      </c>
      <c r="B38" s="34" t="s">
        <v>238</v>
      </c>
      <c r="C38" s="33" t="s">
        <v>337</v>
      </c>
      <c r="D38" s="33" t="s">
        <v>338</v>
      </c>
      <c r="E38" s="33" t="s">
        <v>339</v>
      </c>
      <c r="F38" s="34"/>
      <c r="G38" s="34" t="s">
        <v>239</v>
      </c>
    </row>
    <row r="39" spans="1:7" x14ac:dyDescent="0.3">
      <c r="A39" s="34" t="s">
        <v>228</v>
      </c>
      <c r="B39" s="34"/>
      <c r="C39" s="34" t="s">
        <v>229</v>
      </c>
      <c r="D39" s="34" t="s">
        <v>230</v>
      </c>
      <c r="E39" s="34" t="s">
        <v>231</v>
      </c>
      <c r="F39" s="34"/>
      <c r="G39" s="34"/>
    </row>
    <row r="40" spans="1:7" x14ac:dyDescent="0.3">
      <c r="A40" s="34"/>
      <c r="B40" s="34"/>
      <c r="C40" s="34"/>
      <c r="D40" s="34"/>
      <c r="E40" s="34"/>
      <c r="F40" s="34"/>
      <c r="G40" s="34"/>
    </row>
    <row r="41" spans="1:7" x14ac:dyDescent="0.3">
      <c r="A41" s="33" t="s">
        <v>240</v>
      </c>
      <c r="B41" s="33" t="str">
        <f>'R009'!F5</f>
        <v>R009-S05</v>
      </c>
      <c r="C41" s="34" t="s">
        <v>223</v>
      </c>
      <c r="D41" s="34" t="s">
        <v>224</v>
      </c>
      <c r="E41" s="34" t="s">
        <v>225</v>
      </c>
      <c r="F41" s="34"/>
      <c r="G41" s="34"/>
    </row>
    <row r="42" spans="1:7" x14ac:dyDescent="0.3">
      <c r="A42" s="34" t="s">
        <v>226</v>
      </c>
      <c r="B42" s="34" t="s">
        <v>241</v>
      </c>
      <c r="C42" s="33" t="s">
        <v>341</v>
      </c>
      <c r="D42" s="33" t="s">
        <v>342</v>
      </c>
      <c r="E42" s="33" t="s">
        <v>343</v>
      </c>
      <c r="F42" s="34"/>
      <c r="G42" s="34" t="s">
        <v>242</v>
      </c>
    </row>
    <row r="43" spans="1:7" x14ac:dyDescent="0.3">
      <c r="A43" s="34" t="s">
        <v>228</v>
      </c>
      <c r="B43" s="34"/>
      <c r="C43" s="34" t="s">
        <v>229</v>
      </c>
      <c r="D43" s="34" t="s">
        <v>230</v>
      </c>
      <c r="E43" s="34" t="s">
        <v>231</v>
      </c>
      <c r="F43" s="34"/>
      <c r="G43" s="34"/>
    </row>
    <row r="44" spans="1:7" x14ac:dyDescent="0.3">
      <c r="A44" s="34"/>
      <c r="B44" s="34"/>
      <c r="C44" s="34"/>
      <c r="D44" s="34"/>
      <c r="E44" s="34"/>
      <c r="F44" s="34"/>
      <c r="G44" s="34"/>
    </row>
    <row r="45" spans="1:7" x14ac:dyDescent="0.3">
      <c r="A45" s="33" t="s">
        <v>243</v>
      </c>
      <c r="B45" s="33" t="str">
        <f>'R009'!G5</f>
        <v>R009-S06</v>
      </c>
      <c r="C45" s="34" t="s">
        <v>223</v>
      </c>
      <c r="D45" s="34" t="s">
        <v>224</v>
      </c>
      <c r="E45" s="34" t="s">
        <v>225</v>
      </c>
      <c r="F45" s="34"/>
      <c r="G45" s="34"/>
    </row>
    <row r="46" spans="1:7" x14ac:dyDescent="0.3">
      <c r="A46" s="34" t="s">
        <v>226</v>
      </c>
      <c r="B46" s="34" t="s">
        <v>244</v>
      </c>
      <c r="C46" s="33" t="s">
        <v>345</v>
      </c>
      <c r="D46" s="33" t="s">
        <v>346</v>
      </c>
      <c r="E46" s="33" t="s">
        <v>347</v>
      </c>
      <c r="F46" s="34"/>
      <c r="G46" s="34" t="s">
        <v>245</v>
      </c>
    </row>
    <row r="47" spans="1:7" x14ac:dyDescent="0.3">
      <c r="A47" s="34" t="s">
        <v>228</v>
      </c>
      <c r="B47" s="34"/>
      <c r="C47" s="34" t="s">
        <v>229</v>
      </c>
      <c r="D47" s="34" t="s">
        <v>230</v>
      </c>
      <c r="E47" s="34" t="s">
        <v>231</v>
      </c>
      <c r="F47" s="34"/>
      <c r="G47" s="34"/>
    </row>
    <row r="48" spans="1:7" x14ac:dyDescent="0.3">
      <c r="A48" s="34"/>
      <c r="B48" s="34"/>
      <c r="C48" s="34"/>
      <c r="D48" s="34"/>
      <c r="E48" s="34"/>
      <c r="F48" s="34"/>
      <c r="G48" s="34"/>
    </row>
    <row r="49" spans="1:7" x14ac:dyDescent="0.3">
      <c r="A49" s="33" t="s">
        <v>220</v>
      </c>
      <c r="B49" s="33"/>
      <c r="C49" s="34"/>
      <c r="D49" s="34"/>
      <c r="E49" s="34"/>
      <c r="F49" s="34"/>
      <c r="G49" s="34"/>
    </row>
    <row r="50" spans="1:7" x14ac:dyDescent="0.3">
      <c r="A50" s="33" t="s">
        <v>221</v>
      </c>
      <c r="B50" s="33" t="str">
        <f>'R010'!B1</f>
        <v>R010</v>
      </c>
      <c r="C50" s="34"/>
      <c r="D50" s="34"/>
      <c r="E50" s="34"/>
      <c r="F50" s="34"/>
      <c r="G50" s="34"/>
    </row>
    <row r="51" spans="1:7" x14ac:dyDescent="0.3">
      <c r="A51" s="33" t="s">
        <v>222</v>
      </c>
      <c r="B51" s="33" t="str">
        <f>'R010'!B5</f>
        <v>R010-S01</v>
      </c>
      <c r="C51" s="34" t="s">
        <v>223</v>
      </c>
      <c r="D51" s="34" t="s">
        <v>224</v>
      </c>
      <c r="E51" s="34" t="s">
        <v>225</v>
      </c>
      <c r="F51" s="34"/>
      <c r="G51" s="34"/>
    </row>
    <row r="52" spans="1:7" x14ac:dyDescent="0.3">
      <c r="A52" s="34" t="s">
        <v>226</v>
      </c>
      <c r="B52" s="34" t="s">
        <v>246</v>
      </c>
      <c r="C52" s="33" t="s">
        <v>349</v>
      </c>
      <c r="D52" s="33" t="s">
        <v>350</v>
      </c>
      <c r="E52" s="33" t="s">
        <v>351</v>
      </c>
      <c r="F52" s="34"/>
      <c r="G52" s="34" t="s">
        <v>247</v>
      </c>
    </row>
    <row r="53" spans="1:7" x14ac:dyDescent="0.3">
      <c r="A53" s="34" t="s">
        <v>228</v>
      </c>
      <c r="B53" s="34"/>
      <c r="C53" s="34" t="s">
        <v>229</v>
      </c>
      <c r="D53" s="34" t="s">
        <v>230</v>
      </c>
      <c r="E53" s="34" t="s">
        <v>231</v>
      </c>
      <c r="F53" s="34"/>
      <c r="G53" s="34"/>
    </row>
    <row r="54" spans="1:7" x14ac:dyDescent="0.3">
      <c r="A54" s="34"/>
      <c r="B54" s="34"/>
      <c r="C54" s="34"/>
      <c r="D54" s="34"/>
      <c r="E54" s="34"/>
      <c r="F54" s="34"/>
      <c r="G54" s="34"/>
    </row>
    <row r="55" spans="1:7" x14ac:dyDescent="0.3">
      <c r="A55" s="33" t="s">
        <v>232</v>
      </c>
      <c r="B55" s="33" t="str">
        <f>'R010'!C5</f>
        <v>R010-S02</v>
      </c>
      <c r="C55" s="34" t="s">
        <v>223</v>
      </c>
      <c r="D55" s="34" t="s">
        <v>224</v>
      </c>
      <c r="E55" s="34" t="s">
        <v>225</v>
      </c>
      <c r="F55" s="34"/>
      <c r="G55" s="34"/>
    </row>
    <row r="56" spans="1:7" x14ac:dyDescent="0.3">
      <c r="A56" s="34" t="s">
        <v>226</v>
      </c>
      <c r="B56" s="34" t="s">
        <v>248</v>
      </c>
      <c r="C56" s="33" t="s">
        <v>353</v>
      </c>
      <c r="D56" s="33" t="s">
        <v>354</v>
      </c>
      <c r="E56" s="33" t="s">
        <v>355</v>
      </c>
      <c r="F56" s="34"/>
      <c r="G56" s="34" t="s">
        <v>249</v>
      </c>
    </row>
    <row r="57" spans="1:7" x14ac:dyDescent="0.3">
      <c r="A57" s="34" t="s">
        <v>228</v>
      </c>
      <c r="B57" s="34"/>
      <c r="C57" s="34" t="s">
        <v>229</v>
      </c>
      <c r="D57" s="34" t="s">
        <v>230</v>
      </c>
      <c r="E57" s="34" t="s">
        <v>231</v>
      </c>
      <c r="F57" s="34"/>
      <c r="G57" s="34"/>
    </row>
    <row r="58" spans="1:7" x14ac:dyDescent="0.3">
      <c r="A58" s="34"/>
      <c r="B58" s="34"/>
      <c r="C58" s="34"/>
      <c r="D58" s="34"/>
      <c r="E58" s="34"/>
      <c r="F58" s="34"/>
      <c r="G58" s="34"/>
    </row>
    <row r="59" spans="1:7" x14ac:dyDescent="0.3">
      <c r="A59" s="33" t="s">
        <v>235</v>
      </c>
      <c r="B59" s="33" t="str">
        <f>'R010'!D5</f>
        <v>R010-S03</v>
      </c>
      <c r="C59" s="34" t="s">
        <v>223</v>
      </c>
      <c r="D59" s="34" t="s">
        <v>224</v>
      </c>
      <c r="E59" s="34" t="s">
        <v>225</v>
      </c>
      <c r="F59" s="34"/>
      <c r="G59" s="34"/>
    </row>
    <row r="60" spans="1:7" x14ac:dyDescent="0.3">
      <c r="A60" s="34" t="s">
        <v>226</v>
      </c>
      <c r="B60" s="34" t="s">
        <v>250</v>
      </c>
      <c r="C60" s="33" t="s">
        <v>357</v>
      </c>
      <c r="D60" s="33" t="s">
        <v>358</v>
      </c>
      <c r="E60" s="33" t="s">
        <v>359</v>
      </c>
      <c r="F60" s="34"/>
      <c r="G60" s="34" t="s">
        <v>251</v>
      </c>
    </row>
    <row r="61" spans="1:7" x14ac:dyDescent="0.3">
      <c r="A61" s="34" t="s">
        <v>228</v>
      </c>
      <c r="B61" s="34"/>
      <c r="C61" s="34" t="s">
        <v>229</v>
      </c>
      <c r="D61" s="34" t="s">
        <v>230</v>
      </c>
      <c r="E61" s="34" t="s">
        <v>231</v>
      </c>
      <c r="F61" s="34"/>
      <c r="G61" s="34"/>
    </row>
    <row r="62" spans="1:7" x14ac:dyDescent="0.3">
      <c r="A62" s="34"/>
      <c r="B62" s="34"/>
      <c r="C62" s="34"/>
      <c r="D62" s="34"/>
      <c r="E62" s="34"/>
      <c r="F62" s="34"/>
      <c r="G62" s="34"/>
    </row>
    <row r="63" spans="1:7" x14ac:dyDescent="0.3">
      <c r="A63" s="33" t="s">
        <v>237</v>
      </c>
      <c r="B63" s="33" t="str">
        <f>'R010'!E5</f>
        <v>R010-S04</v>
      </c>
      <c r="C63" s="34" t="s">
        <v>223</v>
      </c>
      <c r="D63" s="34" t="s">
        <v>224</v>
      </c>
      <c r="E63" s="34" t="s">
        <v>225</v>
      </c>
      <c r="F63" s="34"/>
      <c r="G63" s="34"/>
    </row>
    <row r="64" spans="1:7" ht="27" x14ac:dyDescent="0.3">
      <c r="A64" s="34" t="s">
        <v>226</v>
      </c>
      <c r="B64" s="34" t="s">
        <v>252</v>
      </c>
      <c r="C64" s="33" t="s">
        <v>361</v>
      </c>
      <c r="D64" s="33" t="s">
        <v>362</v>
      </c>
      <c r="E64" s="33" t="s">
        <v>363</v>
      </c>
      <c r="F64" s="34"/>
      <c r="G64" s="34" t="s">
        <v>253</v>
      </c>
    </row>
    <row r="65" spans="1:7" x14ac:dyDescent="0.3">
      <c r="A65" s="34" t="s">
        <v>228</v>
      </c>
      <c r="B65" s="34"/>
      <c r="C65" s="34" t="s">
        <v>229</v>
      </c>
      <c r="D65" s="34" t="s">
        <v>230</v>
      </c>
      <c r="E65" s="34" t="s">
        <v>231</v>
      </c>
      <c r="F65" s="34"/>
      <c r="G65" s="34"/>
    </row>
    <row r="66" spans="1:7" x14ac:dyDescent="0.3">
      <c r="A66" s="34"/>
      <c r="B66" s="34"/>
      <c r="C66" s="34"/>
      <c r="D66" s="34"/>
      <c r="E66" s="34"/>
      <c r="F66" s="34"/>
      <c r="G66" s="34"/>
    </row>
    <row r="67" spans="1:7" x14ac:dyDescent="0.3">
      <c r="A67" s="33" t="s">
        <v>240</v>
      </c>
      <c r="B67" s="33" t="str">
        <f>'R010'!F5</f>
        <v>R010-S05</v>
      </c>
      <c r="C67" s="34" t="s">
        <v>223</v>
      </c>
      <c r="D67" s="34" t="s">
        <v>224</v>
      </c>
      <c r="E67" s="34" t="s">
        <v>225</v>
      </c>
      <c r="F67" s="34"/>
      <c r="G67" s="34"/>
    </row>
    <row r="68" spans="1:7" x14ac:dyDescent="0.3">
      <c r="A68" s="34" t="s">
        <v>226</v>
      </c>
      <c r="B68" s="34" t="s">
        <v>254</v>
      </c>
      <c r="C68" s="33" t="s">
        <v>365</v>
      </c>
      <c r="D68" s="33" t="s">
        <v>366</v>
      </c>
      <c r="E68" s="33" t="s">
        <v>367</v>
      </c>
      <c r="F68" s="34"/>
      <c r="G68" s="34" t="s">
        <v>255</v>
      </c>
    </row>
    <row r="69" spans="1:7" x14ac:dyDescent="0.3">
      <c r="A69" s="34" t="s">
        <v>228</v>
      </c>
      <c r="B69" s="34"/>
      <c r="C69" s="34" t="s">
        <v>229</v>
      </c>
      <c r="D69" s="34" t="s">
        <v>230</v>
      </c>
      <c r="E69" s="34" t="s">
        <v>231</v>
      </c>
      <c r="F69" s="34"/>
      <c r="G69" s="34"/>
    </row>
    <row r="70" spans="1:7" x14ac:dyDescent="0.3">
      <c r="A70" s="34"/>
      <c r="B70" s="34"/>
      <c r="C70" s="34"/>
      <c r="D70" s="34"/>
      <c r="E70" s="34"/>
      <c r="F70" s="34"/>
      <c r="G70" s="34"/>
    </row>
    <row r="71" spans="1:7" x14ac:dyDescent="0.3">
      <c r="A71" s="33" t="s">
        <v>243</v>
      </c>
      <c r="B71" s="33" t="str">
        <f>'R010'!G5</f>
        <v>R010-S06</v>
      </c>
      <c r="C71" s="34" t="s">
        <v>223</v>
      </c>
      <c r="D71" s="34" t="s">
        <v>224</v>
      </c>
      <c r="E71" s="34" t="s">
        <v>225</v>
      </c>
      <c r="F71" s="34"/>
      <c r="G71" s="34"/>
    </row>
    <row r="72" spans="1:7" ht="27" x14ac:dyDescent="0.3">
      <c r="A72" s="34" t="s">
        <v>226</v>
      </c>
      <c r="B72" s="34" t="s">
        <v>256</v>
      </c>
      <c r="C72" s="33" t="s">
        <v>369</v>
      </c>
      <c r="D72" s="33" t="s">
        <v>370</v>
      </c>
      <c r="E72" s="33" t="s">
        <v>371</v>
      </c>
      <c r="F72" s="34"/>
      <c r="G72" s="34" t="s">
        <v>257</v>
      </c>
    </row>
    <row r="73" spans="1:7" x14ac:dyDescent="0.3">
      <c r="A73" s="34" t="s">
        <v>228</v>
      </c>
      <c r="B73" s="34"/>
      <c r="C73" s="34" t="s">
        <v>229</v>
      </c>
      <c r="D73" s="34" t="s">
        <v>230</v>
      </c>
      <c r="E73" s="34" t="s">
        <v>231</v>
      </c>
      <c r="F73" s="34"/>
      <c r="G73" s="34"/>
    </row>
    <row r="74" spans="1:7" x14ac:dyDescent="0.3">
      <c r="A74" s="34"/>
      <c r="B74" s="34"/>
      <c r="C74" s="34"/>
      <c r="D74" s="34"/>
      <c r="E74" s="34"/>
      <c r="F74" s="34"/>
      <c r="G74" s="34"/>
    </row>
    <row r="75" spans="1:7" x14ac:dyDescent="0.3">
      <c r="A75" s="33" t="s">
        <v>220</v>
      </c>
      <c r="B75" s="33"/>
      <c r="C75" s="34"/>
      <c r="D75" s="34"/>
      <c r="E75" s="34"/>
      <c r="F75" s="34"/>
      <c r="G75" s="34"/>
    </row>
    <row r="76" spans="1:7" x14ac:dyDescent="0.3">
      <c r="A76" s="33" t="s">
        <v>221</v>
      </c>
      <c r="B76" s="33" t="str">
        <f>'R011'!B1</f>
        <v>R011</v>
      </c>
      <c r="C76" s="34"/>
      <c r="D76" s="34"/>
      <c r="E76" s="34"/>
      <c r="F76" s="34"/>
      <c r="G76" s="34"/>
    </row>
    <row r="77" spans="1:7" x14ac:dyDescent="0.3">
      <c r="A77" s="33" t="s">
        <v>222</v>
      </c>
      <c r="B77" s="33" t="str">
        <f>'R011'!B5</f>
        <v>R011-S01</v>
      </c>
      <c r="C77" s="34" t="s">
        <v>223</v>
      </c>
      <c r="D77" s="34" t="s">
        <v>224</v>
      </c>
      <c r="E77" s="34" t="s">
        <v>225</v>
      </c>
      <c r="F77" s="34"/>
      <c r="G77" s="34"/>
    </row>
    <row r="78" spans="1:7" x14ac:dyDescent="0.3">
      <c r="A78" s="34" t="s">
        <v>226</v>
      </c>
      <c r="B78" s="34" t="s">
        <v>258</v>
      </c>
      <c r="C78" s="33" t="s">
        <v>373</v>
      </c>
      <c r="D78" s="33" t="s">
        <v>374</v>
      </c>
      <c r="E78" s="33" t="s">
        <v>375</v>
      </c>
      <c r="F78" s="34"/>
      <c r="G78" s="34" t="s">
        <v>259</v>
      </c>
    </row>
    <row r="79" spans="1:7" x14ac:dyDescent="0.3">
      <c r="A79" s="34" t="s">
        <v>228</v>
      </c>
      <c r="B79" s="34"/>
      <c r="C79" s="34" t="s">
        <v>229</v>
      </c>
      <c r="D79" s="34" t="s">
        <v>230</v>
      </c>
      <c r="E79" s="34" t="s">
        <v>231</v>
      </c>
      <c r="F79" s="34"/>
      <c r="G79" s="34"/>
    </row>
    <row r="80" spans="1:7" x14ac:dyDescent="0.3">
      <c r="A80" s="34"/>
      <c r="B80" s="34"/>
      <c r="C80" s="34"/>
      <c r="D80" s="34"/>
      <c r="E80" s="34"/>
      <c r="F80" s="34"/>
      <c r="G80" s="34"/>
    </row>
    <row r="81" spans="1:7" x14ac:dyDescent="0.3">
      <c r="A81" s="33" t="s">
        <v>232</v>
      </c>
      <c r="B81" s="33" t="str">
        <f>'R011'!C5</f>
        <v>R011-S02</v>
      </c>
      <c r="C81" s="34" t="s">
        <v>223</v>
      </c>
      <c r="D81" s="34" t="s">
        <v>224</v>
      </c>
      <c r="E81" s="34" t="s">
        <v>225</v>
      </c>
      <c r="F81" s="34"/>
      <c r="G81" s="34"/>
    </row>
    <row r="82" spans="1:7" x14ac:dyDescent="0.3">
      <c r="A82" s="34" t="s">
        <v>226</v>
      </c>
      <c r="B82" s="34" t="s">
        <v>260</v>
      </c>
      <c r="C82" s="33" t="s">
        <v>377</v>
      </c>
      <c r="D82" s="33" t="s">
        <v>378</v>
      </c>
      <c r="E82" s="33" t="s">
        <v>379</v>
      </c>
      <c r="F82" s="34"/>
      <c r="G82" s="34" t="s">
        <v>261</v>
      </c>
    </row>
    <row r="83" spans="1:7" x14ac:dyDescent="0.3">
      <c r="A83" s="34" t="s">
        <v>228</v>
      </c>
      <c r="B83" s="34"/>
      <c r="C83" s="34" t="s">
        <v>229</v>
      </c>
      <c r="D83" s="34" t="s">
        <v>230</v>
      </c>
      <c r="E83" s="34" t="s">
        <v>231</v>
      </c>
      <c r="F83" s="34"/>
      <c r="G83" s="34"/>
    </row>
    <row r="84" spans="1:7" x14ac:dyDescent="0.3">
      <c r="A84" s="34"/>
      <c r="B84" s="34"/>
      <c r="C84" s="34"/>
      <c r="D84" s="34"/>
      <c r="E84" s="34"/>
      <c r="F84" s="34"/>
      <c r="G84" s="34"/>
    </row>
    <row r="85" spans="1:7" x14ac:dyDescent="0.3">
      <c r="A85" s="33" t="s">
        <v>235</v>
      </c>
      <c r="B85" s="33" t="str">
        <f>'R011'!D5</f>
        <v>R011-S03</v>
      </c>
      <c r="C85" s="34" t="s">
        <v>223</v>
      </c>
      <c r="D85" s="34" t="s">
        <v>224</v>
      </c>
      <c r="E85" s="34" t="s">
        <v>225</v>
      </c>
      <c r="F85" s="34"/>
      <c r="G85" s="34"/>
    </row>
    <row r="86" spans="1:7" x14ac:dyDescent="0.3">
      <c r="A86" s="34" t="s">
        <v>226</v>
      </c>
      <c r="B86" s="34" t="s">
        <v>262</v>
      </c>
      <c r="C86" s="33" t="s">
        <v>381</v>
      </c>
      <c r="D86" s="33" t="s">
        <v>382</v>
      </c>
      <c r="E86" s="33" t="s">
        <v>383</v>
      </c>
      <c r="F86" s="34"/>
      <c r="G86" s="34" t="s">
        <v>263</v>
      </c>
    </row>
    <row r="87" spans="1:7" x14ac:dyDescent="0.3">
      <c r="A87" s="34" t="s">
        <v>228</v>
      </c>
      <c r="B87" s="34"/>
      <c r="C87" s="34" t="s">
        <v>229</v>
      </c>
      <c r="D87" s="34" t="s">
        <v>230</v>
      </c>
      <c r="E87" s="34" t="s">
        <v>231</v>
      </c>
      <c r="F87" s="34"/>
      <c r="G87" s="34"/>
    </row>
    <row r="88" spans="1:7" x14ac:dyDescent="0.3">
      <c r="A88" s="34"/>
      <c r="B88" s="34"/>
      <c r="C88" s="34"/>
      <c r="D88" s="34"/>
      <c r="E88" s="34"/>
      <c r="F88" s="34"/>
      <c r="G88" s="34"/>
    </row>
    <row r="89" spans="1:7" x14ac:dyDescent="0.3">
      <c r="A89" s="33" t="s">
        <v>237</v>
      </c>
      <c r="B89" s="33" t="str">
        <f>'R011'!E5</f>
        <v>R011-S04</v>
      </c>
      <c r="C89" s="34" t="s">
        <v>223</v>
      </c>
      <c r="D89" s="34" t="s">
        <v>224</v>
      </c>
      <c r="E89" s="34" t="s">
        <v>225</v>
      </c>
      <c r="F89" s="34"/>
      <c r="G89" s="34"/>
    </row>
    <row r="90" spans="1:7" ht="27" x14ac:dyDescent="0.3">
      <c r="A90" s="34" t="s">
        <v>226</v>
      </c>
      <c r="B90" s="34" t="s">
        <v>264</v>
      </c>
      <c r="C90" s="33" t="s">
        <v>385</v>
      </c>
      <c r="D90" s="33" t="s">
        <v>386</v>
      </c>
      <c r="E90" s="33" t="s">
        <v>387</v>
      </c>
      <c r="F90" s="34"/>
      <c r="G90" s="34" t="s">
        <v>265</v>
      </c>
    </row>
    <row r="91" spans="1:7" x14ac:dyDescent="0.3">
      <c r="A91" s="34" t="s">
        <v>228</v>
      </c>
      <c r="B91" s="34"/>
      <c r="C91" s="34" t="s">
        <v>229</v>
      </c>
      <c r="D91" s="34" t="s">
        <v>230</v>
      </c>
      <c r="E91" s="34" t="s">
        <v>231</v>
      </c>
      <c r="F91" s="34"/>
      <c r="G91" s="34"/>
    </row>
    <row r="92" spans="1:7" x14ac:dyDescent="0.3">
      <c r="A92" s="34"/>
      <c r="B92" s="34"/>
      <c r="C92" s="34"/>
      <c r="D92" s="34"/>
      <c r="E92" s="34"/>
      <c r="F92" s="34"/>
      <c r="G92" s="34"/>
    </row>
    <row r="93" spans="1:7" x14ac:dyDescent="0.3">
      <c r="A93" s="33" t="s">
        <v>240</v>
      </c>
      <c r="B93" s="33" t="str">
        <f>'R011'!F5</f>
        <v>R011-S05</v>
      </c>
      <c r="C93" s="34" t="s">
        <v>223</v>
      </c>
      <c r="D93" s="34" t="s">
        <v>224</v>
      </c>
      <c r="E93" s="34" t="s">
        <v>225</v>
      </c>
      <c r="F93" s="34"/>
      <c r="G93" s="34"/>
    </row>
    <row r="94" spans="1:7" x14ac:dyDescent="0.3">
      <c r="A94" s="34" t="s">
        <v>226</v>
      </c>
      <c r="B94" s="34" t="s">
        <v>266</v>
      </c>
      <c r="C94" s="33" t="s">
        <v>389</v>
      </c>
      <c r="D94" s="33" t="s">
        <v>390</v>
      </c>
      <c r="E94" s="33" t="s">
        <v>391</v>
      </c>
      <c r="F94" s="34"/>
      <c r="G94" s="34" t="s">
        <v>267</v>
      </c>
    </row>
    <row r="95" spans="1:7" x14ac:dyDescent="0.3">
      <c r="A95" s="34" t="s">
        <v>228</v>
      </c>
      <c r="B95" s="34"/>
      <c r="C95" s="34" t="s">
        <v>229</v>
      </c>
      <c r="D95" s="34" t="s">
        <v>230</v>
      </c>
      <c r="E95" s="34" t="s">
        <v>231</v>
      </c>
      <c r="F95" s="34"/>
      <c r="G95" s="34"/>
    </row>
    <row r="96" spans="1:7" x14ac:dyDescent="0.3">
      <c r="A96" s="34"/>
      <c r="B96" s="34"/>
      <c r="C96" s="34"/>
      <c r="D96" s="34"/>
      <c r="E96" s="34"/>
      <c r="F96" s="34"/>
      <c r="G96" s="34"/>
    </row>
    <row r="97" spans="1:7" x14ac:dyDescent="0.3">
      <c r="A97" s="33" t="s">
        <v>243</v>
      </c>
      <c r="B97" s="33" t="str">
        <f>'R011'!G5</f>
        <v>R011-S06</v>
      </c>
      <c r="C97" s="34" t="s">
        <v>223</v>
      </c>
      <c r="D97" s="34" t="s">
        <v>224</v>
      </c>
      <c r="E97" s="34" t="s">
        <v>225</v>
      </c>
      <c r="F97" s="34"/>
      <c r="G97" s="34"/>
    </row>
    <row r="98" spans="1:7" x14ac:dyDescent="0.3">
      <c r="A98" s="34" t="s">
        <v>226</v>
      </c>
      <c r="B98" s="34" t="s">
        <v>268</v>
      </c>
      <c r="C98" s="33" t="s">
        <v>393</v>
      </c>
      <c r="D98" s="33" t="s">
        <v>394</v>
      </c>
      <c r="E98" s="33" t="s">
        <v>395</v>
      </c>
      <c r="F98" s="34"/>
      <c r="G98" s="34" t="s">
        <v>269</v>
      </c>
    </row>
    <row r="99" spans="1:7" x14ac:dyDescent="0.3">
      <c r="A99" s="34" t="s">
        <v>228</v>
      </c>
      <c r="B99" s="34"/>
      <c r="C99" s="34" t="s">
        <v>229</v>
      </c>
      <c r="D99" s="34" t="s">
        <v>230</v>
      </c>
      <c r="E99" s="34" t="s">
        <v>231</v>
      </c>
      <c r="F99" s="34"/>
      <c r="G99" s="34"/>
    </row>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18</vt:i4>
      </vt:variant>
    </vt:vector>
  </HeadingPairs>
  <TitlesOfParts>
    <vt:vector size="18" baseType="lpstr">
      <vt:lpstr>R001</vt:lpstr>
      <vt:lpstr>R002</vt:lpstr>
      <vt:lpstr>R003</vt:lpstr>
      <vt:lpstr>R004</vt:lpstr>
      <vt:lpstr>R005</vt:lpstr>
      <vt:lpstr>R006</vt:lpstr>
      <vt:lpstr>R007</vt:lpstr>
      <vt:lpstr>R008</vt:lpstr>
      <vt:lpstr>R009</vt:lpstr>
      <vt:lpstr>R010</vt:lpstr>
      <vt:lpstr>R011</vt:lpstr>
      <vt:lpstr>R012</vt:lpstr>
      <vt:lpstr>R013</vt:lpstr>
      <vt:lpstr>R014</vt:lpstr>
      <vt:lpstr>R015</vt:lpstr>
      <vt:lpstr>R016</vt:lpstr>
      <vt:lpstr>R017</vt:lpstr>
      <vt:lpstr>阈值表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ysy</dc:creator>
  <cp:lastModifiedBy>af39359@365mso.com</cp:lastModifiedBy>
  <dcterms:created xsi:type="dcterms:W3CDTF">2023-05-12T11:15:00Z</dcterms:created>
  <dcterms:modified xsi:type="dcterms:W3CDTF">2026-09-07T00:59:50Z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